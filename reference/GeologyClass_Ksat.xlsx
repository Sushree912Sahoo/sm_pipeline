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Ksat_Look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Assigned from ROCKTYPE + age + code suffix; values from Ksat_Lookup sheet.</t>
        </r>
      </text>
    </comment>
  </commentList>
</comments>
</file>

<file path=xl/sharedStrings.xml><?xml version="1.0" encoding="utf-8"?>
<sst xmlns="http://schemas.openxmlformats.org/spreadsheetml/2006/main" count="2363" uniqueCount="503">
  <si>
    <t xml:space="preserve">Class</t>
  </si>
  <si>
    <t xml:space="preserve">Geology</t>
  </si>
  <si>
    <t xml:space="preserve">ROCKTYPE</t>
  </si>
  <si>
    <t xml:space="preserve">MIN_AGE</t>
  </si>
  <si>
    <t xml:space="preserve">MAX_AGE</t>
  </si>
  <si>
    <t xml:space="preserve">Hydrolithology</t>
  </si>
  <si>
    <t xml:space="preserve">Assignment note</t>
  </si>
  <si>
    <t xml:space="preserve">log10 k (m2)</t>
  </si>
  <si>
    <t xml:space="preserve">Ksat (m/s)</t>
  </si>
  <si>
    <t xml:space="preserve">Ksat (m/day)</t>
  </si>
  <si>
    <t xml:space="preserve">Alt hydrolithology</t>
  </si>
  <si>
    <t xml:space="preserve">Alt Ksat (m/day)</t>
  </si>
  <si>
    <t xml:space="preserve">Qvm</t>
  </si>
  <si>
    <t xml:space="preserve">Volcanic</t>
  </si>
  <si>
    <t xml:space="preserve">Quaternary</t>
  </si>
  <si>
    <t xml:space="preserve">Volcanic rocks</t>
  </si>
  <si>
    <t xml:space="preserve">TQvm</t>
  </si>
  <si>
    <t xml:space="preserve">Tertiary</t>
  </si>
  <si>
    <t xml:space="preserve">PTR</t>
  </si>
  <si>
    <t xml:space="preserve">Sedimentary</t>
  </si>
  <si>
    <t xml:space="preserve">Triassic</t>
  </si>
  <si>
    <t xml:space="preserve">Permian</t>
  </si>
  <si>
    <t xml:space="preserve">Siliciclastic sedimentary rocks</t>
  </si>
  <si>
    <t xml:space="preserve">Pre-Quaternary sedimentary rock (lithology not given) -&gt; siliciclastic, undifferentiated</t>
  </si>
  <si>
    <t xml:space="preserve">Q</t>
  </si>
  <si>
    <t xml:space="preserve">Unconsolidated sediments</t>
  </si>
  <si>
    <t xml:space="preserve">Quaternary sediments -&gt; unconsolidated</t>
  </si>
  <si>
    <t xml:space="preserve">ZD</t>
  </si>
  <si>
    <t xml:space="preserve">Devonian</t>
  </si>
  <si>
    <t xml:space="preserve">Late Proterozoic</t>
  </si>
  <si>
    <t xml:space="preserve">uK</t>
  </si>
  <si>
    <t xml:space="preserve">Upper Cretaceous</t>
  </si>
  <si>
    <t xml:space="preserve">MZsv</t>
  </si>
  <si>
    <t xml:space="preserve">Mesozoic</t>
  </si>
  <si>
    <t xml:space="preserve">Mixed sedimentary-volcanic</t>
  </si>
  <si>
    <t xml:space="preserve">'sv' = sedimentary and volcanic rocks -&gt; log-average of the two</t>
  </si>
  <si>
    <t xml:space="preserve">eTvm*</t>
  </si>
  <si>
    <t xml:space="preserve">Eocene</t>
  </si>
  <si>
    <t xml:space="preserve">K</t>
  </si>
  <si>
    <t xml:space="preserve">Cretaceous</t>
  </si>
  <si>
    <t xml:space="preserve">JKsv</t>
  </si>
  <si>
    <t xml:space="preserve">Jurassic</t>
  </si>
  <si>
    <t xml:space="preserve">nT</t>
  </si>
  <si>
    <t xml:space="preserve">Neogene</t>
  </si>
  <si>
    <t xml:space="preserve">Ice</t>
  </si>
  <si>
    <t xml:space="preserve">Holocene</t>
  </si>
  <si>
    <t xml:space="preserve">No data</t>
  </si>
  <si>
    <t xml:space="preserve">Not a geologic unit (water/ice/other/unknown) - no Ksat</t>
  </si>
  <si>
    <t xml:space="preserve">JK</t>
  </si>
  <si>
    <t xml:space="preserve">Kg</t>
  </si>
  <si>
    <t xml:space="preserve">Plutonic</t>
  </si>
  <si>
    <t xml:space="preserve">Crystalline rocks</t>
  </si>
  <si>
    <t xml:space="preserve">Plutonic -&gt; crystalline</t>
  </si>
  <si>
    <t xml:space="preserve">pgT</t>
  </si>
  <si>
    <t xml:space="preserve">Paleogene</t>
  </si>
  <si>
    <t xml:space="preserve">PZ</t>
  </si>
  <si>
    <t xml:space="preserve">Paleozoic</t>
  </si>
  <si>
    <t xml:space="preserve">ZPZsv</t>
  </si>
  <si>
    <t xml:space="preserve">paT</t>
  </si>
  <si>
    <t xml:space="preserve">Paleocene</t>
  </si>
  <si>
    <t xml:space="preserve">T</t>
  </si>
  <si>
    <t xml:space="preserve">2uK</t>
  </si>
  <si>
    <t xml:space="preserve">omTq</t>
  </si>
  <si>
    <t xml:space="preserve">Miocene</t>
  </si>
  <si>
    <t xml:space="preserve">Oligocene</t>
  </si>
  <si>
    <t xml:space="preserve">OTR</t>
  </si>
  <si>
    <t xml:space="preserve">Ordovician</t>
  </si>
  <si>
    <t xml:space="preserve">JKv</t>
  </si>
  <si>
    <t xml:space="preserve">DP</t>
  </si>
  <si>
    <t xml:space="preserve">lJ</t>
  </si>
  <si>
    <t xml:space="preserve">Lower Jurassic</t>
  </si>
  <si>
    <t xml:space="preserve">lK</t>
  </si>
  <si>
    <t xml:space="preserve">Lower Cretaceous</t>
  </si>
  <si>
    <t xml:space="preserve">lmJvb</t>
  </si>
  <si>
    <t xml:space="preserve">Middle Jurassic</t>
  </si>
  <si>
    <t xml:space="preserve">TRvm</t>
  </si>
  <si>
    <t xml:space="preserve">mKi</t>
  </si>
  <si>
    <t xml:space="preserve">Mid-Cretaceous</t>
  </si>
  <si>
    <t xml:space="preserve">eoT</t>
  </si>
  <si>
    <t xml:space="preserve">mT</t>
  </si>
  <si>
    <t xml:space="preserve">nTvm</t>
  </si>
  <si>
    <t xml:space="preserve">eTsv</t>
  </si>
  <si>
    <t xml:space="preserve">TQ</t>
  </si>
  <si>
    <t xml:space="preserve">Quaternary-Tertiary/Neogene sediments; may be partly consolidated</t>
  </si>
  <si>
    <t xml:space="preserve">eT</t>
  </si>
  <si>
    <t xml:space="preserve">KT</t>
  </si>
  <si>
    <t xml:space="preserve">plT</t>
  </si>
  <si>
    <t xml:space="preserve">Pliocene</t>
  </si>
  <si>
    <t xml:space="preserve">Jvm</t>
  </si>
  <si>
    <t xml:space="preserve">eTvm</t>
  </si>
  <si>
    <t xml:space="preserve">pgTvm</t>
  </si>
  <si>
    <t xml:space="preserve">Jvi</t>
  </si>
  <si>
    <t xml:space="preserve">J</t>
  </si>
  <si>
    <t xml:space="preserve">DPv</t>
  </si>
  <si>
    <t xml:space="preserve">lmJvi</t>
  </si>
  <si>
    <t xml:space="preserve">lmJv</t>
  </si>
  <si>
    <t xml:space="preserve">mJi</t>
  </si>
  <si>
    <t xml:space="preserve">JKg</t>
  </si>
  <si>
    <t xml:space="preserve">mTvm</t>
  </si>
  <si>
    <t xml:space="preserve">Jmu</t>
  </si>
  <si>
    <t xml:space="preserve">oTm</t>
  </si>
  <si>
    <t xml:space="preserve">eoTsv</t>
  </si>
  <si>
    <t xml:space="preserve">eTvim</t>
  </si>
  <si>
    <t xml:space="preserve">mTvi</t>
  </si>
  <si>
    <t xml:space="preserve">TRJ</t>
  </si>
  <si>
    <t xml:space="preserve">lJi</t>
  </si>
  <si>
    <t xml:space="preserve">Late Jurassic</t>
  </si>
  <si>
    <t xml:space="preserve">CAOm</t>
  </si>
  <si>
    <t xml:space="preserve">Cambrian</t>
  </si>
  <si>
    <t xml:space="preserve">omTvm</t>
  </si>
  <si>
    <t xml:space="preserve">Jv</t>
  </si>
  <si>
    <t xml:space="preserve">DTR</t>
  </si>
  <si>
    <t xml:space="preserve">eTv</t>
  </si>
  <si>
    <t xml:space="preserve">PATR</t>
  </si>
  <si>
    <t xml:space="preserve">Pennsylvanian</t>
  </si>
  <si>
    <t xml:space="preserve">lKv</t>
  </si>
  <si>
    <t xml:space="preserve">TR</t>
  </si>
  <si>
    <t xml:space="preserve">omTsv</t>
  </si>
  <si>
    <t xml:space="preserve">D</t>
  </si>
  <si>
    <t xml:space="preserve">omTvi</t>
  </si>
  <si>
    <t xml:space="preserve">OD</t>
  </si>
  <si>
    <t xml:space="preserve">eTvk</t>
  </si>
  <si>
    <t xml:space="preserve">omT</t>
  </si>
  <si>
    <t xml:space="preserve">Q*</t>
  </si>
  <si>
    <t xml:space="preserve">nTvi</t>
  </si>
  <si>
    <t xml:space="preserve">nTsv</t>
  </si>
  <si>
    <t xml:space="preserve">mTvim</t>
  </si>
  <si>
    <t xml:space="preserve">plTvm</t>
  </si>
  <si>
    <t xml:space="preserve">Qvfi</t>
  </si>
  <si>
    <t xml:space="preserve">TRJvk</t>
  </si>
  <si>
    <t xml:space="preserve">Qvi</t>
  </si>
  <si>
    <t xml:space="preserve">Pm</t>
  </si>
  <si>
    <t xml:space="preserve">PZsv</t>
  </si>
  <si>
    <t xml:space="preserve">lJm</t>
  </si>
  <si>
    <t xml:space="preserve">DPsv</t>
  </si>
  <si>
    <t xml:space="preserve">TRJsv</t>
  </si>
  <si>
    <t xml:space="preserve">MJ</t>
  </si>
  <si>
    <t xml:space="preserve">Mississippian</t>
  </si>
  <si>
    <t xml:space="preserve">omTv</t>
  </si>
  <si>
    <t xml:space="preserve">Qvim</t>
  </si>
  <si>
    <t xml:space="preserve">nTi</t>
  </si>
  <si>
    <t xml:space="preserve">ZPZ</t>
  </si>
  <si>
    <t xml:space="preserve">pgTv</t>
  </si>
  <si>
    <t xml:space="preserve">pgTsv</t>
  </si>
  <si>
    <t xml:space="preserve">lmJ</t>
  </si>
  <si>
    <t xml:space="preserve">Lower Devonian</t>
  </si>
  <si>
    <t xml:space="preserve">nTg</t>
  </si>
  <si>
    <t xml:space="preserve">Jm</t>
  </si>
  <si>
    <t xml:space="preserve">eKg</t>
  </si>
  <si>
    <t xml:space="preserve">Early Cretaceous</t>
  </si>
  <si>
    <t xml:space="preserve">n</t>
  </si>
  <si>
    <t xml:space="preserve">Metamorphic and undivided crystalline</t>
  </si>
  <si>
    <t xml:space="preserve">Age unknown</t>
  </si>
  <si>
    <t xml:space="preserve">Metamorphic / undivided crystalline -&gt; crystalline</t>
  </si>
  <si>
    <t xml:space="preserve">JKvim</t>
  </si>
  <si>
    <t xml:space="preserve">Ji</t>
  </si>
  <si>
    <t xml:space="preserve">mTvf</t>
  </si>
  <si>
    <t xml:space="preserve">Jsv</t>
  </si>
  <si>
    <t xml:space="preserve">nTvim</t>
  </si>
  <si>
    <t xml:space="preserve">TRvi</t>
  </si>
  <si>
    <t xml:space="preserve">Jg</t>
  </si>
  <si>
    <t xml:space="preserve">uKsv</t>
  </si>
  <si>
    <t xml:space="preserve">lKg</t>
  </si>
  <si>
    <t xml:space="preserve">Late Cretaceous</t>
  </si>
  <si>
    <t xml:space="preserve">TRvk</t>
  </si>
  <si>
    <t xml:space="preserve">mKq</t>
  </si>
  <si>
    <t xml:space="preserve">pgTi</t>
  </si>
  <si>
    <t xml:space="preserve">mTsv</t>
  </si>
  <si>
    <t xml:space="preserve">TRv</t>
  </si>
  <si>
    <t xml:space="preserve">oT</t>
  </si>
  <si>
    <t xml:space="preserve">MZ</t>
  </si>
  <si>
    <t xml:space="preserve">OTRv</t>
  </si>
  <si>
    <t xml:space="preserve">TRJi</t>
  </si>
  <si>
    <t xml:space="preserve">pgTvk</t>
  </si>
  <si>
    <t xml:space="preserve">O</t>
  </si>
  <si>
    <t xml:space="preserve">lKi</t>
  </si>
  <si>
    <t xml:space="preserve">DTRsv</t>
  </si>
  <si>
    <t xml:space="preserve">JKi</t>
  </si>
  <si>
    <t xml:space="preserve">KTg</t>
  </si>
  <si>
    <t xml:space="preserve">pgTq</t>
  </si>
  <si>
    <t xml:space="preserve">CAD</t>
  </si>
  <si>
    <t xml:space="preserve">TQvim</t>
  </si>
  <si>
    <t xml:space="preserve">TRsv</t>
  </si>
  <si>
    <t xml:space="preserve">TRJv</t>
  </si>
  <si>
    <t xml:space="preserve">omTvf</t>
  </si>
  <si>
    <t xml:space="preserve">u</t>
  </si>
  <si>
    <t xml:space="preserve">Tv</t>
  </si>
  <si>
    <t xml:space="preserve">MPAsv</t>
  </si>
  <si>
    <t xml:space="preserve">MZg</t>
  </si>
  <si>
    <t xml:space="preserve">Tg</t>
  </si>
  <si>
    <t xml:space="preserve">CAM</t>
  </si>
  <si>
    <t xml:space="preserve">Z</t>
  </si>
  <si>
    <t xml:space="preserve">Y</t>
  </si>
  <si>
    <t xml:space="preserve">Middle Proterozoic</t>
  </si>
  <si>
    <t xml:space="preserve">CADsv</t>
  </si>
  <si>
    <t xml:space="preserve">plTvf</t>
  </si>
  <si>
    <t xml:space="preserve">pgTg</t>
  </si>
  <si>
    <t xml:space="preserve">Kvi</t>
  </si>
  <si>
    <t xml:space="preserve">CAO</t>
  </si>
  <si>
    <t xml:space="preserve">OS</t>
  </si>
  <si>
    <t xml:space="preserve">Silurian</t>
  </si>
  <si>
    <t xml:space="preserve">pCAx</t>
  </si>
  <si>
    <t xml:space="preserve">Precambrian</t>
  </si>
  <si>
    <t xml:space="preserve">CAJ</t>
  </si>
  <si>
    <t xml:space="preserve">ZCA</t>
  </si>
  <si>
    <t xml:space="preserve">eoTvf</t>
  </si>
  <si>
    <t xml:space="preserve">MP</t>
  </si>
  <si>
    <t xml:space="preserve">Xsvn</t>
  </si>
  <si>
    <t xml:space="preserve">Early Proterozoic</t>
  </si>
  <si>
    <t xml:space="preserve">Dm</t>
  </si>
  <si>
    <t xml:space="preserve">eTg</t>
  </si>
  <si>
    <t xml:space="preserve">eTvi</t>
  </si>
  <si>
    <t xml:space="preserve">PZMZ</t>
  </si>
  <si>
    <t xml:space="preserve">Xg</t>
  </si>
  <si>
    <t xml:space="preserve">1uK</t>
  </si>
  <si>
    <t xml:space="preserve">eTvf</t>
  </si>
  <si>
    <t xml:space="preserve">KTv</t>
  </si>
  <si>
    <t xml:space="preserve">XYg</t>
  </si>
  <si>
    <t xml:space="preserve">Wn</t>
  </si>
  <si>
    <t xml:space="preserve">Late Archean</t>
  </si>
  <si>
    <t xml:space="preserve">P</t>
  </si>
  <si>
    <t xml:space="preserve">uKvi</t>
  </si>
  <si>
    <t xml:space="preserve">PAP</t>
  </si>
  <si>
    <t xml:space="preserve">plTvi</t>
  </si>
  <si>
    <t xml:space="preserve">Yq</t>
  </si>
  <si>
    <t xml:space="preserve">Qvf</t>
  </si>
  <si>
    <t xml:space="preserve">eTk</t>
  </si>
  <si>
    <t xml:space="preserve">uD</t>
  </si>
  <si>
    <t xml:space="preserve">Upper Devonian</t>
  </si>
  <si>
    <t xml:space="preserve">Km</t>
  </si>
  <si>
    <t xml:space="preserve">M</t>
  </si>
  <si>
    <t xml:space="preserve">nTvf</t>
  </si>
  <si>
    <t xml:space="preserve">PA</t>
  </si>
  <si>
    <t xml:space="preserve">lKfi</t>
  </si>
  <si>
    <t xml:space="preserve">YZ</t>
  </si>
  <si>
    <t xml:space="preserve">oTvf</t>
  </si>
  <si>
    <t xml:space="preserve">An</t>
  </si>
  <si>
    <t xml:space="preserve">Archean</t>
  </si>
  <si>
    <t xml:space="preserve">Wg</t>
  </si>
  <si>
    <t xml:space="preserve">Ag</t>
  </si>
  <si>
    <t xml:space="preserve">nTvfi</t>
  </si>
  <si>
    <t xml:space="preserve">Qvmk</t>
  </si>
  <si>
    <t xml:space="preserve">eoTk</t>
  </si>
  <si>
    <t xml:space="preserve">Xm</t>
  </si>
  <si>
    <t xml:space="preserve">lP</t>
  </si>
  <si>
    <t xml:space="preserve">Lower Permian</t>
  </si>
  <si>
    <t xml:space="preserve">Wsv</t>
  </si>
  <si>
    <t xml:space="preserve">Ya</t>
  </si>
  <si>
    <t xml:space="preserve">X</t>
  </si>
  <si>
    <t xml:space="preserve">2lK</t>
  </si>
  <si>
    <t xml:space="preserve">1lK</t>
  </si>
  <si>
    <t xml:space="preserve">1uP</t>
  </si>
  <si>
    <t xml:space="preserve">Upper Permian</t>
  </si>
  <si>
    <t xml:space="preserve">lS</t>
  </si>
  <si>
    <t xml:space="preserve">Lower Silurian</t>
  </si>
  <si>
    <t xml:space="preserve">2uP</t>
  </si>
  <si>
    <t xml:space="preserve">2lP</t>
  </si>
  <si>
    <t xml:space="preserve">2eT</t>
  </si>
  <si>
    <t xml:space="preserve">Middle Eocene</t>
  </si>
  <si>
    <t xml:space="preserve">3eT</t>
  </si>
  <si>
    <t xml:space="preserve">Upper Eocene</t>
  </si>
  <si>
    <t xml:space="preserve">1lPA</t>
  </si>
  <si>
    <t xml:space="preserve">Lower Pennsylvanian</t>
  </si>
  <si>
    <t xml:space="preserve">1uPA</t>
  </si>
  <si>
    <t xml:space="preserve">Upper Pennsylvanian</t>
  </si>
  <si>
    <t xml:space="preserve">2lPA</t>
  </si>
  <si>
    <t xml:space="preserve">mD</t>
  </si>
  <si>
    <t xml:space="preserve">Middle Devonian</t>
  </si>
  <si>
    <t xml:space="preserve">uO</t>
  </si>
  <si>
    <t xml:space="preserve">Upper Ordovician</t>
  </si>
  <si>
    <t xml:space="preserve">pQ</t>
  </si>
  <si>
    <t xml:space="preserve">Pleistocene</t>
  </si>
  <si>
    <t xml:space="preserve">1lP</t>
  </si>
  <si>
    <t xml:space="preserve">1eT</t>
  </si>
  <si>
    <t xml:space="preserve">Lower Eocene</t>
  </si>
  <si>
    <t xml:space="preserve">Xqz</t>
  </si>
  <si>
    <t xml:space="preserve">Wvm</t>
  </si>
  <si>
    <t xml:space="preserve">Precambrian volcanic; often metamorphosed (greenstone) - crystalline value may fit better</t>
  </si>
  <si>
    <t xml:space="preserve">W</t>
  </si>
  <si>
    <t xml:space="preserve">Zg</t>
  </si>
  <si>
    <t xml:space="preserve">2uPA</t>
  </si>
  <si>
    <t xml:space="preserve">Wt</t>
  </si>
  <si>
    <t xml:space="preserve">Wtn</t>
  </si>
  <si>
    <t xml:space="preserve">SM</t>
  </si>
  <si>
    <t xml:space="preserve">Wgt</t>
  </si>
  <si>
    <t xml:space="preserve">Wgg</t>
  </si>
  <si>
    <t xml:space="preserve">Ut</t>
  </si>
  <si>
    <t xml:space="preserve">Early Archean</t>
  </si>
  <si>
    <t xml:space="preserve">X²</t>
  </si>
  <si>
    <t xml:space="preserve">lM</t>
  </si>
  <si>
    <t xml:space="preserve">Lower Mississippian</t>
  </si>
  <si>
    <t xml:space="preserve">uM</t>
  </si>
  <si>
    <t xml:space="preserve">Upper Mississippian</t>
  </si>
  <si>
    <t xml:space="preserve">Wy</t>
  </si>
  <si>
    <t xml:space="preserve">CA</t>
  </si>
  <si>
    <t xml:space="preserve">X²g</t>
  </si>
  <si>
    <t xml:space="preserve">lO</t>
  </si>
  <si>
    <t xml:space="preserve">Lower Ordovician</t>
  </si>
  <si>
    <t xml:space="preserve">Wvf</t>
  </si>
  <si>
    <t xml:space="preserve">Y³vm</t>
  </si>
  <si>
    <t xml:space="preserve">SD</t>
  </si>
  <si>
    <t xml:space="preserve">Y³</t>
  </si>
  <si>
    <t xml:space="preserve">X²v</t>
  </si>
  <si>
    <t xml:space="preserve">S</t>
  </si>
  <si>
    <t xml:space="preserve">Y³m</t>
  </si>
  <si>
    <t xml:space="preserve">X³q</t>
  </si>
  <si>
    <t xml:space="preserve">X²n</t>
  </si>
  <si>
    <t xml:space="preserve">Wgn</t>
  </si>
  <si>
    <t xml:space="preserve">X³vf</t>
  </si>
  <si>
    <t xml:space="preserve">Y³*</t>
  </si>
  <si>
    <t xml:space="preserve">Yvf</t>
  </si>
  <si>
    <t xml:space="preserve">X³qz</t>
  </si>
  <si>
    <t xml:space="preserve">Y¹g</t>
  </si>
  <si>
    <t xml:space="preserve">Y¹</t>
  </si>
  <si>
    <t xml:space="preserve">uO*</t>
  </si>
  <si>
    <t xml:space="preserve">Dvm</t>
  </si>
  <si>
    <t xml:space="preserve">Kvm</t>
  </si>
  <si>
    <t xml:space="preserve">Kv</t>
  </si>
  <si>
    <t xml:space="preserve">Ki</t>
  </si>
  <si>
    <t xml:space="preserve">ZCAsv</t>
  </si>
  <si>
    <t xml:space="preserve">CAOg</t>
  </si>
  <si>
    <t xml:space="preserve">Ksv</t>
  </si>
  <si>
    <t xml:space="preserve">Ygn</t>
  </si>
  <si>
    <t xml:space="preserve">lT</t>
  </si>
  <si>
    <t xml:space="preserve">Lower Tertiary</t>
  </si>
  <si>
    <t xml:space="preserve">X¹</t>
  </si>
  <si>
    <t xml:space="preserve">JK?</t>
  </si>
  <si>
    <t xml:space="preserve">Tpm</t>
  </si>
  <si>
    <t xml:space="preserve">eTm</t>
  </si>
  <si>
    <t xml:space="preserve">CAvf</t>
  </si>
  <si>
    <t xml:space="preserve">Wv</t>
  </si>
  <si>
    <t xml:space="preserve">Wm</t>
  </si>
  <si>
    <t xml:space="preserve">lD</t>
  </si>
  <si>
    <t xml:space="preserve">X²m</t>
  </si>
  <si>
    <t xml:space="preserve">Zv</t>
  </si>
  <si>
    <t xml:space="preserve">Zvm</t>
  </si>
  <si>
    <t xml:space="preserve">MPAg</t>
  </si>
  <si>
    <t xml:space="preserve">mO</t>
  </si>
  <si>
    <t xml:space="preserve">Middle Ordovician</t>
  </si>
  <si>
    <t xml:space="preserve">lPA</t>
  </si>
  <si>
    <t xml:space="preserve">uPA</t>
  </si>
  <si>
    <t xml:space="preserve">ZCAvf</t>
  </si>
  <si>
    <t xml:space="preserve">ZCAm</t>
  </si>
  <si>
    <t xml:space="preserve">WXn</t>
  </si>
  <si>
    <t xml:space="preserve">Xn</t>
  </si>
  <si>
    <t xml:space="preserve">Y¹gn</t>
  </si>
  <si>
    <t xml:space="preserve">ZCAg</t>
  </si>
  <si>
    <t xml:space="preserve">Ysn</t>
  </si>
  <si>
    <t xml:space="preserve">ZCAvm</t>
  </si>
  <si>
    <t xml:space="preserve">Y²mb</t>
  </si>
  <si>
    <t xml:space="preserve">Og</t>
  </si>
  <si>
    <t xml:space="preserve">Y²n</t>
  </si>
  <si>
    <t xml:space="preserve">Y²vm</t>
  </si>
  <si>
    <t xml:space="preserve">Y²k</t>
  </si>
  <si>
    <t xml:space="preserve">Y²g</t>
  </si>
  <si>
    <t xml:space="preserve">uKvm</t>
  </si>
  <si>
    <t xml:space="preserve">KTi</t>
  </si>
  <si>
    <t xml:space="preserve">nT*</t>
  </si>
  <si>
    <t xml:space="preserve">Y²sn</t>
  </si>
  <si>
    <t xml:space="preserve">Y³g</t>
  </si>
  <si>
    <t xml:space="preserve">pgTvf</t>
  </si>
  <si>
    <t xml:space="preserve">Y³y</t>
  </si>
  <si>
    <t xml:space="preserve">Y²gn</t>
  </si>
  <si>
    <t xml:space="preserve">Y³c</t>
  </si>
  <si>
    <t xml:space="preserve">uCA</t>
  </si>
  <si>
    <t xml:space="preserve">Upper Cambrian</t>
  </si>
  <si>
    <t xml:space="preserve">Y³a</t>
  </si>
  <si>
    <t xml:space="preserve">Y²³</t>
  </si>
  <si>
    <t xml:space="preserve">Om</t>
  </si>
  <si>
    <t xml:space="preserve">Ogn</t>
  </si>
  <si>
    <t xml:space="preserve">CAOu</t>
  </si>
  <si>
    <t xml:space="preserve">Dg</t>
  </si>
  <si>
    <t xml:space="preserve">Zgn</t>
  </si>
  <si>
    <t xml:space="preserve">Ovm</t>
  </si>
  <si>
    <t xml:space="preserve">APZ</t>
  </si>
  <si>
    <t xml:space="preserve">ZO</t>
  </si>
  <si>
    <t xml:space="preserve">PMi</t>
  </si>
  <si>
    <t xml:space="preserve">MCi</t>
  </si>
  <si>
    <t xml:space="preserve">ZOvm</t>
  </si>
  <si>
    <t xml:space="preserve">Y¹sv</t>
  </si>
  <si>
    <t xml:space="preserve">Qv</t>
  </si>
  <si>
    <t xml:space="preserve">Cv</t>
  </si>
  <si>
    <t xml:space="preserve">uK*</t>
  </si>
  <si>
    <t xml:space="preserve">Sg</t>
  </si>
  <si>
    <t xml:space="preserve">OSg</t>
  </si>
  <si>
    <t xml:space="preserve">Zm</t>
  </si>
  <si>
    <t xml:space="preserve">Mv</t>
  </si>
  <si>
    <t xml:space="preserve">ZPZ*</t>
  </si>
  <si>
    <t xml:space="preserve">Zvf</t>
  </si>
  <si>
    <t xml:space="preserve">PTRg</t>
  </si>
  <si>
    <t xml:space="preserve">PZ*</t>
  </si>
  <si>
    <t xml:space="preserve">Dsv</t>
  </si>
  <si>
    <t xml:space="preserve">SDg</t>
  </si>
  <si>
    <t xml:space="preserve">Ovf</t>
  </si>
  <si>
    <t xml:space="preserve">Sv</t>
  </si>
  <si>
    <t xml:space="preserve">Dmu</t>
  </si>
  <si>
    <t xml:space="preserve">Jx</t>
  </si>
  <si>
    <t xml:space="preserve">SDv</t>
  </si>
  <si>
    <t xml:space="preserve">KTsv*</t>
  </si>
  <si>
    <t xml:space="preserve">lKsv</t>
  </si>
  <si>
    <t xml:space="preserve">TKv</t>
  </si>
  <si>
    <t xml:space="preserve">lKvm</t>
  </si>
  <si>
    <t xml:space="preserve">MPA</t>
  </si>
  <si>
    <t xml:space="preserve">pC</t>
  </si>
  <si>
    <t xml:space="preserve">oTvi</t>
  </si>
  <si>
    <t xml:space="preserve">Tmov</t>
  </si>
  <si>
    <t xml:space="preserve">QTv</t>
  </si>
  <si>
    <t xml:space="preserve">Tplv</t>
  </si>
  <si>
    <t xml:space="preserve">Mzv</t>
  </si>
  <si>
    <t xml:space="preserve">Di</t>
  </si>
  <si>
    <t xml:space="preserve">CmO</t>
  </si>
  <si>
    <t xml:space="preserve">C</t>
  </si>
  <si>
    <t xml:space="preserve">SEA</t>
  </si>
  <si>
    <t xml:space="preserve">Water/Sea (map symbol, not a stratigraphic unit)</t>
  </si>
  <si>
    <t xml:space="preserve">Not applicable</t>
  </si>
  <si>
    <t xml:space="preserve">Qe</t>
  </si>
  <si>
    <t xml:space="preserve">pCm</t>
  </si>
  <si>
    <t xml:space="preserve">CzMzi</t>
  </si>
  <si>
    <t xml:space="preserve">Cenozoic</t>
  </si>
  <si>
    <t xml:space="preserve">Sea1</t>
  </si>
  <si>
    <t xml:space="preserve">Pg</t>
  </si>
  <si>
    <t xml:space="preserve">oth</t>
  </si>
  <si>
    <t xml:space="preserve">Other (map symbol, not a stratigraphic unit)</t>
  </si>
  <si>
    <t xml:space="preserve">Unknown</t>
  </si>
  <si>
    <t xml:space="preserve">Pzi</t>
  </si>
  <si>
    <t xml:space="preserve">SO</t>
  </si>
  <si>
    <t xml:space="preserve">Cm</t>
  </si>
  <si>
    <t xml:space="preserve">Pzv</t>
  </si>
  <si>
    <t xml:space="preserve">Pzm</t>
  </si>
  <si>
    <t xml:space="preserve">pCmi</t>
  </si>
  <si>
    <t xml:space="preserve">CD</t>
  </si>
  <si>
    <t xml:space="preserve">OCm</t>
  </si>
  <si>
    <t xml:space="preserve">H2O</t>
  </si>
  <si>
    <t xml:space="preserve">Water (map symbol, not a stratigraphic unit)</t>
  </si>
  <si>
    <t xml:space="preserve">Cz</t>
  </si>
  <si>
    <t xml:space="preserve">Cenozoic sedimentary; may be partly unconsolidated</t>
  </si>
  <si>
    <t xml:space="preserve">JTr</t>
  </si>
  <si>
    <t xml:space="preserve">Czv</t>
  </si>
  <si>
    <t xml:space="preserve">Pzl</t>
  </si>
  <si>
    <t xml:space="preserve">Lower Paleozoic</t>
  </si>
  <si>
    <t xml:space="preserve">Mzm</t>
  </si>
  <si>
    <t xml:space="preserve">unk</t>
  </si>
  <si>
    <t xml:space="preserve">TrP</t>
  </si>
  <si>
    <t xml:space="preserve">PzpCm</t>
  </si>
  <si>
    <t xml:space="preserve">Pzu</t>
  </si>
  <si>
    <t xml:space="preserve">TK</t>
  </si>
  <si>
    <t xml:space="preserve">KJ</t>
  </si>
  <si>
    <t xml:space="preserve">DS</t>
  </si>
  <si>
    <t xml:space="preserve">TQ*</t>
  </si>
  <si>
    <t xml:space="preserve">pCmv</t>
  </si>
  <si>
    <t xml:space="preserve">QT</t>
  </si>
  <si>
    <t xml:space="preserve">Mi</t>
  </si>
  <si>
    <t xml:space="preserve">KC</t>
  </si>
  <si>
    <t xml:space="preserve">PtAi</t>
  </si>
  <si>
    <t xml:space="preserve">Proterozoic</t>
  </si>
  <si>
    <t xml:space="preserve">A</t>
  </si>
  <si>
    <t xml:space="preserve">Qp</t>
  </si>
  <si>
    <t xml:space="preserve">Kl</t>
  </si>
  <si>
    <t xml:space="preserve">Ks</t>
  </si>
  <si>
    <t xml:space="preserve">H20</t>
  </si>
  <si>
    <t xml:space="preserve">Jms</t>
  </si>
  <si>
    <t xml:space="preserve">Ts</t>
  </si>
  <si>
    <t xml:space="preserve">Ti</t>
  </si>
  <si>
    <t xml:space="preserve">Qs</t>
  </si>
  <si>
    <t xml:space="preserve">KJs</t>
  </si>
  <si>
    <t xml:space="preserve">MzPz</t>
  </si>
  <si>
    <t xml:space="preserve"> </t>
  </si>
  <si>
    <t xml:space="preserve">TrCs</t>
  </si>
  <si>
    <t xml:space="preserve">Carboniferous</t>
  </si>
  <si>
    <t xml:space="preserve">TKs</t>
  </si>
  <si>
    <t xml:space="preserve">AP</t>
  </si>
  <si>
    <t xml:space="preserve">Cs</t>
  </si>
  <si>
    <t xml:space="preserve">TrK</t>
  </si>
  <si>
    <t xml:space="preserve">CP</t>
  </si>
  <si>
    <t xml:space="preserve">CmD</t>
  </si>
  <si>
    <t xml:space="preserve">PtPZ</t>
  </si>
  <si>
    <t xml:space="preserve">Pt</t>
  </si>
  <si>
    <t xml:space="preserve">NQ</t>
  </si>
  <si>
    <t xml:space="preserve">und</t>
  </si>
  <si>
    <t xml:space="preserve">Undivided (map symbol, not a stratigraphic unit)</t>
  </si>
  <si>
    <t xml:space="preserve">DC</t>
  </si>
  <si>
    <t xml:space="preserve">Conversion constants (permeability k -&gt; hydraulic conductivity K = k*rho*g/mu)</t>
  </si>
  <si>
    <t xml:space="preserve">Water density rho (kg/m3)</t>
  </si>
  <si>
    <t xml:space="preserve">Gravity g (m/s2)</t>
  </si>
  <si>
    <t xml:space="preserve">Dynamic viscosity mu (Pa s, ~20 C)</t>
  </si>
  <si>
    <t xml:space="preserve">Factor rho*g/mu (1/(m s))</t>
  </si>
  <si>
    <t xml:space="preserve">Seconds per day</t>
  </si>
  <si>
    <t xml:space="preserve">log10 k mean (m2)</t>
  </si>
  <si>
    <t xml:space="preserve">log10 k SD</t>
  </si>
  <si>
    <t xml:space="preserve">Source / note</t>
  </si>
  <si>
    <t xml:space="preserve">Gleeson et al. (2011) GRL 38:L02401, hydrolithology geometric means (also used in GLHYMPS 1.0)</t>
  </si>
  <si>
    <t xml:space="preserve">Derived: mean of siliciclastic and volcanic log k</t>
  </si>
  <si>
    <t xml:space="preserve">Carbonate rocks (ref.)</t>
  </si>
  <si>
    <t xml:space="preserve">Gleeson et al. (2011) GRL 38:L02401, hydrolithology geometric means (also used in GLHYMPS 1.0) - not assigned (no carbonate info in codes)</t>
  </si>
  <si>
    <t xml:space="preserve">Unconsolidated coarse (ref.)</t>
  </si>
  <si>
    <t xml:space="preserve">Gleeson et al. (2011) GRL 38:L02401, hydrolithology geometric means (also used in GLHYMPS 1.0) - reference only</t>
  </si>
  <si>
    <t xml:space="preserve">Unconsolidated fine (ref.)</t>
  </si>
  <si>
    <t xml:space="preserve">Siliciclastic coarse (ref.)</t>
  </si>
  <si>
    <t xml:space="preserve">Siliciclastic fine (ref.)</t>
  </si>
  <si>
    <t xml:space="preserve">Notes</t>
  </si>
  <si>
    <t xml:space="preserve">Values are regional-scale (&gt;5 km), ~upper 100 m, saturated. SD is ~1-2.5 orders of magnitude: treat as representative, not measured.</t>
  </si>
  <si>
    <t xml:space="preserve">Blue = hardcoded input (edit to change all classes). Black = formula.</t>
  </si>
  <si>
    <t xml:space="preserve">Values entered from Gleeson et al. (2011) Table 1 as recalled; verify against doi:10.1029/2010GL045565 before publication.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</si>
</sst>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E+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J247" activeCellId="0" sqref="J247"/>
    </sheetView>
  </sheetViews>
  <sheetFormatPr defaultColWidth="30.00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5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n">
        <v>1</v>
      </c>
      <c r="B2" s="3" t="s">
        <v>12</v>
      </c>
      <c r="C2" s="3" t="s">
        <v>13</v>
      </c>
      <c r="D2" s="3" t="s">
        <v>14</v>
      </c>
      <c r="E2" s="3" t="s">
        <v>14</v>
      </c>
      <c r="F2" s="4" t="s">
        <v>15</v>
      </c>
      <c r="G2" s="4" t="s">
        <v>15</v>
      </c>
      <c r="H2" s="5" t="n">
        <f aca="false">IFERROR(INDEX(Ksat_Lookup!$B$9:$B$18,MATCH(F2,Ksat_Lookup!$A$9:$A$18,0)),"")</f>
        <v>-12.5</v>
      </c>
      <c r="I2" s="6" t="n">
        <f aca="false">IF(H2="","",10^H2*Ksat_Lookup!$B$5)</f>
        <v>3.10219438462518E-006</v>
      </c>
      <c r="J2" s="6" t="n">
        <f aca="false">IF(I2="","",I2*Ksat_Lookup!$B$6)</f>
        <v>0.268029594831616</v>
      </c>
      <c r="K2" s="4"/>
      <c r="L2" s="6"/>
    </row>
    <row r="3" customFormat="false" ht="15" hidden="false" customHeight="false" outlineLevel="0" collapsed="false">
      <c r="A3" s="3" t="n">
        <v>2</v>
      </c>
      <c r="B3" s="3" t="s">
        <v>16</v>
      </c>
      <c r="C3" s="3" t="s">
        <v>13</v>
      </c>
      <c r="D3" s="3" t="s">
        <v>14</v>
      </c>
      <c r="E3" s="3" t="s">
        <v>17</v>
      </c>
      <c r="F3" s="4" t="s">
        <v>15</v>
      </c>
      <c r="G3" s="4" t="s">
        <v>15</v>
      </c>
      <c r="H3" s="5" t="n">
        <f aca="false">IFERROR(INDEX(Ksat_Lookup!$B$9:$B$18,MATCH(F3,Ksat_Lookup!$A$9:$A$18,0)),"")</f>
        <v>-12.5</v>
      </c>
      <c r="I3" s="6" t="n">
        <f aca="false">IF(H3="","",10^H3*Ksat_Lookup!$B$5)</f>
        <v>3.10219438462518E-006</v>
      </c>
      <c r="J3" s="6" t="n">
        <f aca="false">IF(I3="","",I3*Ksat_Lookup!$B$6)</f>
        <v>0.268029594831616</v>
      </c>
      <c r="K3" s="4"/>
      <c r="L3" s="6"/>
    </row>
    <row r="4" customFormat="false" ht="15" hidden="false" customHeight="false" outlineLevel="0" collapsed="false">
      <c r="A4" s="3" t="n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4" t="s">
        <v>23</v>
      </c>
      <c r="H4" s="5" t="n">
        <f aca="false">IFERROR(INDEX(Ksat_Lookup!$B$9:$B$18,MATCH(F4,Ksat_Lookup!$A$9:$A$18,0)),"")</f>
        <v>-15.2</v>
      </c>
      <c r="I4" s="6" t="n">
        <f aca="false">IF(H4="","",10^H4*Ksat_Lookup!$B$5)</f>
        <v>6.18969154935071E-009</v>
      </c>
      <c r="J4" s="6" t="n">
        <f aca="false">IF(I4="","",I4*Ksat_Lookup!$B$6)</f>
        <v>0.000534789349863901</v>
      </c>
      <c r="K4" s="4"/>
      <c r="L4" s="6"/>
    </row>
    <row r="5" customFormat="false" ht="15" hidden="false" customHeight="false" outlineLevel="0" collapsed="false">
      <c r="A5" s="3" t="n">
        <v>4</v>
      </c>
      <c r="B5" s="3" t="s">
        <v>24</v>
      </c>
      <c r="C5" s="3" t="s">
        <v>19</v>
      </c>
      <c r="D5" s="3" t="s">
        <v>14</v>
      </c>
      <c r="E5" s="3" t="s">
        <v>14</v>
      </c>
      <c r="F5" s="4" t="s">
        <v>25</v>
      </c>
      <c r="G5" s="4" t="s">
        <v>26</v>
      </c>
      <c r="H5" s="5" t="n">
        <f aca="false">IFERROR(INDEX(Ksat_Lookup!$B$9:$B$18,MATCH(F5,Ksat_Lookup!$A$9:$A$18,0)),"")</f>
        <v>-13</v>
      </c>
      <c r="I5" s="6" t="n">
        <f aca="false">IF(H5="","",10^H5*Ksat_Lookup!$B$5)</f>
        <v>9.81E-007</v>
      </c>
      <c r="J5" s="6" t="n">
        <f aca="false">IF(I5="","",I5*Ksat_Lookup!$B$6)</f>
        <v>0.0847584</v>
      </c>
      <c r="K5" s="4"/>
      <c r="L5" s="6"/>
    </row>
    <row r="6" customFormat="false" ht="15" hidden="false" customHeight="false" outlineLevel="0" collapsed="false">
      <c r="A6" s="3" t="n">
        <v>5</v>
      </c>
      <c r="B6" s="3" t="s">
        <v>27</v>
      </c>
      <c r="C6" s="3" t="s">
        <v>19</v>
      </c>
      <c r="D6" s="3" t="s">
        <v>28</v>
      </c>
      <c r="E6" s="3" t="s">
        <v>29</v>
      </c>
      <c r="F6" s="4" t="s">
        <v>22</v>
      </c>
      <c r="G6" s="4" t="s">
        <v>23</v>
      </c>
      <c r="H6" s="5" t="n">
        <f aca="false">IFERROR(INDEX(Ksat_Lookup!$B$9:$B$18,MATCH(F6,Ksat_Lookup!$A$9:$A$18,0)),"")</f>
        <v>-15.2</v>
      </c>
      <c r="I6" s="6" t="n">
        <f aca="false">IF(H6="","",10^H6*Ksat_Lookup!$B$5)</f>
        <v>6.18969154935071E-009</v>
      </c>
      <c r="J6" s="6" t="n">
        <f aca="false">IF(I6="","",I6*Ksat_Lookup!$B$6)</f>
        <v>0.000534789349863901</v>
      </c>
      <c r="K6" s="4"/>
      <c r="L6" s="6"/>
    </row>
    <row r="7" customFormat="false" ht="15" hidden="false" customHeight="false" outlineLevel="0" collapsed="false">
      <c r="A7" s="3" t="n">
        <v>6</v>
      </c>
      <c r="B7" s="3" t="s">
        <v>30</v>
      </c>
      <c r="C7" s="3" t="s">
        <v>19</v>
      </c>
      <c r="D7" s="3" t="s">
        <v>31</v>
      </c>
      <c r="E7" s="3" t="s">
        <v>31</v>
      </c>
      <c r="F7" s="4" t="s">
        <v>22</v>
      </c>
      <c r="G7" s="4" t="s">
        <v>23</v>
      </c>
      <c r="H7" s="5" t="n">
        <f aca="false">IFERROR(INDEX(Ksat_Lookup!$B$9:$B$18,MATCH(F7,Ksat_Lookup!$A$9:$A$18,0)),"")</f>
        <v>-15.2</v>
      </c>
      <c r="I7" s="6" t="n">
        <f aca="false">IF(H7="","",10^H7*Ksat_Lookup!$B$5)</f>
        <v>6.18969154935071E-009</v>
      </c>
      <c r="J7" s="6" t="n">
        <f aca="false">IF(I7="","",I7*Ksat_Lookup!$B$6)</f>
        <v>0.000534789349863901</v>
      </c>
      <c r="K7" s="4"/>
      <c r="L7" s="6"/>
    </row>
    <row r="8" customFormat="false" ht="15" hidden="false" customHeight="false" outlineLevel="0" collapsed="false">
      <c r="A8" s="3" t="n">
        <v>7</v>
      </c>
      <c r="B8" s="3" t="s">
        <v>32</v>
      </c>
      <c r="C8" s="3" t="s">
        <v>13</v>
      </c>
      <c r="D8" s="3" t="s">
        <v>33</v>
      </c>
      <c r="E8" s="3" t="s">
        <v>33</v>
      </c>
      <c r="F8" s="4" t="s">
        <v>34</v>
      </c>
      <c r="G8" s="4" t="s">
        <v>35</v>
      </c>
      <c r="H8" s="5" t="n">
        <f aca="false">IFERROR(INDEX(Ksat_Lookup!$B$9:$B$18,MATCH(F8,Ksat_Lookup!$A$9:$A$18,0)),"")</f>
        <v>-13.85</v>
      </c>
      <c r="I8" s="6" t="n">
        <f aca="false">IF(H8="","",10^H8*Ksat_Lookup!$B$5)</f>
        <v>1.38569933127492E-007</v>
      </c>
      <c r="J8" s="6" t="n">
        <f aca="false">IF(I8="","",I8*Ksat_Lookup!$B$6)</f>
        <v>0.0119724422222153</v>
      </c>
      <c r="K8" s="4"/>
      <c r="L8" s="6"/>
    </row>
    <row r="9" customFormat="false" ht="15" hidden="false" customHeight="false" outlineLevel="0" collapsed="false">
      <c r="A9" s="3" t="n">
        <v>8</v>
      </c>
      <c r="B9" s="3" t="s">
        <v>36</v>
      </c>
      <c r="C9" s="3" t="s">
        <v>13</v>
      </c>
      <c r="D9" s="3" t="s">
        <v>37</v>
      </c>
      <c r="E9" s="3" t="s">
        <v>37</v>
      </c>
      <c r="F9" s="4" t="s">
        <v>15</v>
      </c>
      <c r="G9" s="4" t="s">
        <v>15</v>
      </c>
      <c r="H9" s="5" t="n">
        <f aca="false">IFERROR(INDEX(Ksat_Lookup!$B$9:$B$18,MATCH(F9,Ksat_Lookup!$A$9:$A$18,0)),"")</f>
        <v>-12.5</v>
      </c>
      <c r="I9" s="6" t="n">
        <f aca="false">IF(H9="","",10^H9*Ksat_Lookup!$B$5)</f>
        <v>3.10219438462518E-006</v>
      </c>
      <c r="J9" s="6" t="n">
        <f aca="false">IF(I9="","",I9*Ksat_Lookup!$B$6)</f>
        <v>0.268029594831616</v>
      </c>
      <c r="K9" s="4"/>
      <c r="L9" s="6"/>
    </row>
    <row r="10" customFormat="false" ht="15" hidden="false" customHeight="false" outlineLevel="0" collapsed="false">
      <c r="A10" s="3" t="n">
        <v>9</v>
      </c>
      <c r="B10" s="3" t="s">
        <v>38</v>
      </c>
      <c r="C10" s="3" t="s">
        <v>19</v>
      </c>
      <c r="D10" s="3" t="s">
        <v>39</v>
      </c>
      <c r="E10" s="3" t="s">
        <v>39</v>
      </c>
      <c r="F10" s="4" t="s">
        <v>22</v>
      </c>
      <c r="G10" s="4" t="s">
        <v>23</v>
      </c>
      <c r="H10" s="5" t="n">
        <f aca="false">IFERROR(INDEX(Ksat_Lookup!$B$9:$B$18,MATCH(F10,Ksat_Lookup!$A$9:$A$18,0)),"")</f>
        <v>-15.2</v>
      </c>
      <c r="I10" s="6" t="n">
        <f aca="false">IF(H10="","",10^H10*Ksat_Lookup!$B$5)</f>
        <v>6.18969154935071E-009</v>
      </c>
      <c r="J10" s="6" t="n">
        <f aca="false">IF(I10="","",I10*Ksat_Lookup!$B$6)</f>
        <v>0.000534789349863901</v>
      </c>
      <c r="K10" s="4"/>
      <c r="L10" s="6"/>
    </row>
    <row r="11" customFormat="false" ht="15" hidden="false" customHeight="false" outlineLevel="0" collapsed="false">
      <c r="A11" s="3" t="n">
        <v>10</v>
      </c>
      <c r="B11" s="3" t="s">
        <v>40</v>
      </c>
      <c r="C11" s="3" t="s">
        <v>13</v>
      </c>
      <c r="D11" s="3" t="s">
        <v>39</v>
      </c>
      <c r="E11" s="3" t="s">
        <v>41</v>
      </c>
      <c r="F11" s="4" t="s">
        <v>34</v>
      </c>
      <c r="G11" s="4" t="s">
        <v>35</v>
      </c>
      <c r="H11" s="5" t="n">
        <f aca="false">IFERROR(INDEX(Ksat_Lookup!$B$9:$B$18,MATCH(F11,Ksat_Lookup!$A$9:$A$18,0)),"")</f>
        <v>-13.85</v>
      </c>
      <c r="I11" s="6" t="n">
        <f aca="false">IF(H11="","",10^H11*Ksat_Lookup!$B$5)</f>
        <v>1.38569933127492E-007</v>
      </c>
      <c r="J11" s="6" t="n">
        <f aca="false">IF(I11="","",I11*Ksat_Lookup!$B$6)</f>
        <v>0.0119724422222153</v>
      </c>
      <c r="K11" s="4"/>
      <c r="L11" s="6"/>
    </row>
    <row r="12" customFormat="false" ht="15" hidden="false" customHeight="false" outlineLevel="0" collapsed="false">
      <c r="A12" s="3" t="n">
        <v>11</v>
      </c>
      <c r="B12" s="3" t="s">
        <v>42</v>
      </c>
      <c r="C12" s="3" t="s">
        <v>19</v>
      </c>
      <c r="D12" s="3" t="s">
        <v>43</v>
      </c>
      <c r="E12" s="3" t="s">
        <v>43</v>
      </c>
      <c r="F12" s="4" t="s">
        <v>22</v>
      </c>
      <c r="G12" s="4" t="s">
        <v>23</v>
      </c>
      <c r="H12" s="5" t="n">
        <f aca="false">IFERROR(INDEX(Ksat_Lookup!$B$9:$B$18,MATCH(F12,Ksat_Lookup!$A$9:$A$18,0)),"")</f>
        <v>-15.2</v>
      </c>
      <c r="I12" s="6" t="n">
        <f aca="false">IF(H12="","",10^H12*Ksat_Lookup!$B$5)</f>
        <v>6.18969154935071E-009</v>
      </c>
      <c r="J12" s="6" t="n">
        <f aca="false">IF(I12="","",I12*Ksat_Lookup!$B$6)</f>
        <v>0.000534789349863901</v>
      </c>
      <c r="K12" s="4"/>
      <c r="L12" s="6"/>
    </row>
    <row r="13" customFormat="false" ht="15" hidden="false" customHeight="false" outlineLevel="0" collapsed="false">
      <c r="A13" s="3" t="n">
        <v>12</v>
      </c>
      <c r="B13" s="3" t="s">
        <v>44</v>
      </c>
      <c r="C13" s="3" t="s">
        <v>44</v>
      </c>
      <c r="D13" s="3" t="s">
        <v>45</v>
      </c>
      <c r="E13" s="3" t="s">
        <v>45</v>
      </c>
      <c r="F13" s="4" t="s">
        <v>46</v>
      </c>
      <c r="G13" s="4" t="s">
        <v>47</v>
      </c>
      <c r="H13" s="5" t="str">
        <f aca="false">IFERROR(INDEX(Ksat_Lookup!$B$9:$B$18,MATCH(F13,Ksat_Lookup!$A$9:$A$18,0)),"")</f>
        <v/>
      </c>
      <c r="I13" s="6" t="str">
        <f aca="false">IF(H13="","",10^H13*Ksat_Lookup!$B$5)</f>
        <v/>
      </c>
      <c r="J13" s="6" t="str">
        <f aca="false">IF(I13="","",I13*Ksat_Lookup!$B$6)</f>
        <v/>
      </c>
      <c r="K13" s="4"/>
      <c r="L13" s="6"/>
    </row>
    <row r="14" customFormat="false" ht="15" hidden="false" customHeight="false" outlineLevel="0" collapsed="false">
      <c r="A14" s="3" t="n">
        <v>13</v>
      </c>
      <c r="B14" s="3" t="s">
        <v>48</v>
      </c>
      <c r="C14" s="3" t="s">
        <v>19</v>
      </c>
      <c r="D14" s="3" t="s">
        <v>39</v>
      </c>
      <c r="E14" s="3" t="s">
        <v>41</v>
      </c>
      <c r="F14" s="4" t="s">
        <v>22</v>
      </c>
      <c r="G14" s="4" t="s">
        <v>23</v>
      </c>
      <c r="H14" s="5" t="n">
        <f aca="false">IFERROR(INDEX(Ksat_Lookup!$B$9:$B$18,MATCH(F14,Ksat_Lookup!$A$9:$A$18,0)),"")</f>
        <v>-15.2</v>
      </c>
      <c r="I14" s="6" t="n">
        <f aca="false">IF(H14="","",10^H14*Ksat_Lookup!$B$5)</f>
        <v>6.18969154935071E-009</v>
      </c>
      <c r="J14" s="6" t="n">
        <f aca="false">IF(I14="","",I14*Ksat_Lookup!$B$6)</f>
        <v>0.000534789349863901</v>
      </c>
      <c r="K14" s="4"/>
      <c r="L14" s="6"/>
    </row>
    <row r="15" customFormat="false" ht="15" hidden="false" customHeight="false" outlineLevel="0" collapsed="false">
      <c r="A15" s="3" t="n">
        <v>14</v>
      </c>
      <c r="B15" s="3" t="s">
        <v>49</v>
      </c>
      <c r="C15" s="3" t="s">
        <v>50</v>
      </c>
      <c r="D15" s="3" t="s">
        <v>39</v>
      </c>
      <c r="E15" s="3" t="s">
        <v>39</v>
      </c>
      <c r="F15" s="4" t="s">
        <v>51</v>
      </c>
      <c r="G15" s="4" t="s">
        <v>52</v>
      </c>
      <c r="H15" s="5" t="n">
        <f aca="false">IFERROR(INDEX(Ksat_Lookup!$B$9:$B$18,MATCH(F15,Ksat_Lookup!$A$9:$A$18,0)),"")</f>
        <v>-14.1</v>
      </c>
      <c r="I15" s="6" t="n">
        <f aca="false">IF(H15="","",10^H15*Ksat_Lookup!$B$5)</f>
        <v>7.79235998264521E-008</v>
      </c>
      <c r="J15" s="6" t="n">
        <f aca="false">IF(I15="","",I15*Ksat_Lookup!$B$6)</f>
        <v>0.00673259902500546</v>
      </c>
      <c r="K15" s="4"/>
      <c r="L15" s="6"/>
    </row>
    <row r="16" customFormat="false" ht="15" hidden="false" customHeight="false" outlineLevel="0" collapsed="false">
      <c r="A16" s="3" t="n">
        <v>15</v>
      </c>
      <c r="B16" s="3" t="s">
        <v>53</v>
      </c>
      <c r="C16" s="3" t="s">
        <v>19</v>
      </c>
      <c r="D16" s="3" t="s">
        <v>54</v>
      </c>
      <c r="E16" s="3" t="s">
        <v>54</v>
      </c>
      <c r="F16" s="4" t="s">
        <v>22</v>
      </c>
      <c r="G16" s="4" t="s">
        <v>23</v>
      </c>
      <c r="H16" s="5" t="n">
        <f aca="false">IFERROR(INDEX(Ksat_Lookup!$B$9:$B$18,MATCH(F16,Ksat_Lookup!$A$9:$A$18,0)),"")</f>
        <v>-15.2</v>
      </c>
      <c r="I16" s="6" t="n">
        <f aca="false">IF(H16="","",10^H16*Ksat_Lookup!$B$5)</f>
        <v>6.18969154935071E-009</v>
      </c>
      <c r="J16" s="6" t="n">
        <f aca="false">IF(I16="","",I16*Ksat_Lookup!$B$6)</f>
        <v>0.000534789349863901</v>
      </c>
      <c r="K16" s="4"/>
      <c r="L16" s="6"/>
    </row>
    <row r="17" customFormat="false" ht="15" hidden="false" customHeight="false" outlineLevel="0" collapsed="false">
      <c r="A17" s="3" t="n">
        <v>16</v>
      </c>
      <c r="B17" s="3" t="s">
        <v>55</v>
      </c>
      <c r="C17" s="3" t="s">
        <v>19</v>
      </c>
      <c r="D17" s="3" t="s">
        <v>56</v>
      </c>
      <c r="E17" s="3" t="s">
        <v>56</v>
      </c>
      <c r="F17" s="4" t="s">
        <v>22</v>
      </c>
      <c r="G17" s="4" t="s">
        <v>23</v>
      </c>
      <c r="H17" s="5" t="n">
        <f aca="false">IFERROR(INDEX(Ksat_Lookup!$B$9:$B$18,MATCH(F17,Ksat_Lookup!$A$9:$A$18,0)),"")</f>
        <v>-15.2</v>
      </c>
      <c r="I17" s="6" t="n">
        <f aca="false">IF(H17="","",10^H17*Ksat_Lookup!$B$5)</f>
        <v>6.18969154935071E-009</v>
      </c>
      <c r="J17" s="6" t="n">
        <f aca="false">IF(I17="","",I17*Ksat_Lookup!$B$6)</f>
        <v>0.000534789349863901</v>
      </c>
      <c r="K17" s="4"/>
      <c r="L17" s="6"/>
    </row>
    <row r="18" customFormat="false" ht="15" hidden="false" customHeight="false" outlineLevel="0" collapsed="false">
      <c r="A18" s="3" t="n">
        <v>17</v>
      </c>
      <c r="B18" s="3" t="s">
        <v>57</v>
      </c>
      <c r="C18" s="3" t="s">
        <v>13</v>
      </c>
      <c r="D18" s="3" t="s">
        <v>56</v>
      </c>
      <c r="E18" s="3" t="s">
        <v>29</v>
      </c>
      <c r="F18" s="4" t="s">
        <v>34</v>
      </c>
      <c r="G18" s="4" t="s">
        <v>35</v>
      </c>
      <c r="H18" s="5" t="n">
        <f aca="false">IFERROR(INDEX(Ksat_Lookup!$B$9:$B$18,MATCH(F18,Ksat_Lookup!$A$9:$A$18,0)),"")</f>
        <v>-13.85</v>
      </c>
      <c r="I18" s="6" t="n">
        <f aca="false">IF(H18="","",10^H18*Ksat_Lookup!$B$5)</f>
        <v>1.38569933127492E-007</v>
      </c>
      <c r="J18" s="6" t="n">
        <f aca="false">IF(I18="","",I18*Ksat_Lookup!$B$6)</f>
        <v>0.0119724422222153</v>
      </c>
      <c r="K18" s="4"/>
      <c r="L18" s="6"/>
    </row>
    <row r="19" customFormat="false" ht="15" hidden="false" customHeight="false" outlineLevel="0" collapsed="false">
      <c r="A19" s="3" t="n">
        <v>18</v>
      </c>
      <c r="B19" s="3" t="s">
        <v>58</v>
      </c>
      <c r="C19" s="3" t="s">
        <v>19</v>
      </c>
      <c r="D19" s="3" t="s">
        <v>59</v>
      </c>
      <c r="E19" s="3" t="s">
        <v>59</v>
      </c>
      <c r="F19" s="4" t="s">
        <v>22</v>
      </c>
      <c r="G19" s="4" t="s">
        <v>23</v>
      </c>
      <c r="H19" s="5" t="n">
        <f aca="false">IFERROR(INDEX(Ksat_Lookup!$B$9:$B$18,MATCH(F19,Ksat_Lookup!$A$9:$A$18,0)),"")</f>
        <v>-15.2</v>
      </c>
      <c r="I19" s="6" t="n">
        <f aca="false">IF(H19="","",10^H19*Ksat_Lookup!$B$5)</f>
        <v>6.18969154935071E-009</v>
      </c>
      <c r="J19" s="6" t="n">
        <f aca="false">IF(I19="","",I19*Ksat_Lookup!$B$6)</f>
        <v>0.000534789349863901</v>
      </c>
      <c r="K19" s="4"/>
      <c r="L19" s="6"/>
    </row>
    <row r="20" customFormat="false" ht="15" hidden="false" customHeight="false" outlineLevel="0" collapsed="false">
      <c r="A20" s="3" t="n">
        <v>19</v>
      </c>
      <c r="B20" s="3" t="s">
        <v>60</v>
      </c>
      <c r="C20" s="3" t="s">
        <v>19</v>
      </c>
      <c r="D20" s="3" t="s">
        <v>17</v>
      </c>
      <c r="E20" s="3" t="s">
        <v>17</v>
      </c>
      <c r="F20" s="4" t="s">
        <v>22</v>
      </c>
      <c r="G20" s="4" t="s">
        <v>23</v>
      </c>
      <c r="H20" s="5" t="n">
        <f aca="false">IFERROR(INDEX(Ksat_Lookup!$B$9:$B$18,MATCH(F20,Ksat_Lookup!$A$9:$A$18,0)),"")</f>
        <v>-15.2</v>
      </c>
      <c r="I20" s="6" t="n">
        <f aca="false">IF(H20="","",10^H20*Ksat_Lookup!$B$5)</f>
        <v>6.18969154935071E-009</v>
      </c>
      <c r="J20" s="6" t="n">
        <f aca="false">IF(I20="","",I20*Ksat_Lookup!$B$6)</f>
        <v>0.000534789349863901</v>
      </c>
      <c r="K20" s="4"/>
      <c r="L20" s="6"/>
    </row>
    <row r="21" customFormat="false" ht="15" hidden="false" customHeight="false" outlineLevel="0" collapsed="false">
      <c r="A21" s="3" t="n">
        <v>20</v>
      </c>
      <c r="B21" s="3" t="s">
        <v>61</v>
      </c>
      <c r="C21" s="3" t="s">
        <v>19</v>
      </c>
      <c r="D21" s="3" t="s">
        <v>31</v>
      </c>
      <c r="E21" s="3" t="s">
        <v>31</v>
      </c>
      <c r="F21" s="4" t="s">
        <v>22</v>
      </c>
      <c r="G21" s="4" t="s">
        <v>23</v>
      </c>
      <c r="H21" s="5" t="n">
        <f aca="false">IFERROR(INDEX(Ksat_Lookup!$B$9:$B$18,MATCH(F21,Ksat_Lookup!$A$9:$A$18,0)),"")</f>
        <v>-15.2</v>
      </c>
      <c r="I21" s="6" t="n">
        <f aca="false">IF(H21="","",10^H21*Ksat_Lookup!$B$5)</f>
        <v>6.18969154935071E-009</v>
      </c>
      <c r="J21" s="6" t="n">
        <f aca="false">IF(I21="","",I21*Ksat_Lookup!$B$6)</f>
        <v>0.000534789349863901</v>
      </c>
      <c r="K21" s="4"/>
      <c r="L21" s="6"/>
    </row>
    <row r="22" customFormat="false" ht="15" hidden="false" customHeight="false" outlineLevel="0" collapsed="false">
      <c r="A22" s="3" t="n">
        <v>21</v>
      </c>
      <c r="B22" s="3" t="s">
        <v>62</v>
      </c>
      <c r="C22" s="3" t="s">
        <v>50</v>
      </c>
      <c r="D22" s="3" t="s">
        <v>63</v>
      </c>
      <c r="E22" s="3" t="s">
        <v>64</v>
      </c>
      <c r="F22" s="4" t="s">
        <v>51</v>
      </c>
      <c r="G22" s="4" t="s">
        <v>52</v>
      </c>
      <c r="H22" s="5" t="n">
        <f aca="false">IFERROR(INDEX(Ksat_Lookup!$B$9:$B$18,MATCH(F22,Ksat_Lookup!$A$9:$A$18,0)),"")</f>
        <v>-14.1</v>
      </c>
      <c r="I22" s="6" t="n">
        <f aca="false">IF(H22="","",10^H22*Ksat_Lookup!$B$5)</f>
        <v>7.79235998264521E-008</v>
      </c>
      <c r="J22" s="6" t="n">
        <f aca="false">IF(I22="","",I22*Ksat_Lookup!$B$6)</f>
        <v>0.00673259902500546</v>
      </c>
      <c r="K22" s="4"/>
      <c r="L22" s="6"/>
    </row>
    <row r="23" customFormat="false" ht="15" hidden="false" customHeight="false" outlineLevel="0" collapsed="false">
      <c r="A23" s="3" t="n">
        <v>22</v>
      </c>
      <c r="B23" s="3" t="s">
        <v>65</v>
      </c>
      <c r="C23" s="3" t="s">
        <v>19</v>
      </c>
      <c r="D23" s="3" t="s">
        <v>20</v>
      </c>
      <c r="E23" s="3" t="s">
        <v>66</v>
      </c>
      <c r="F23" s="4" t="s">
        <v>22</v>
      </c>
      <c r="G23" s="4" t="s">
        <v>23</v>
      </c>
      <c r="H23" s="5" t="n">
        <f aca="false">IFERROR(INDEX(Ksat_Lookup!$B$9:$B$18,MATCH(F23,Ksat_Lookup!$A$9:$A$18,0)),"")</f>
        <v>-15.2</v>
      </c>
      <c r="I23" s="6" t="n">
        <f aca="false">IF(H23="","",10^H23*Ksat_Lookup!$B$5)</f>
        <v>6.18969154935071E-009</v>
      </c>
      <c r="J23" s="6" t="n">
        <f aca="false">IF(I23="","",I23*Ksat_Lookup!$B$6)</f>
        <v>0.000534789349863901</v>
      </c>
      <c r="K23" s="4"/>
      <c r="L23" s="6"/>
    </row>
    <row r="24" customFormat="false" ht="15" hidden="false" customHeight="false" outlineLevel="0" collapsed="false">
      <c r="A24" s="3" t="n">
        <v>23</v>
      </c>
      <c r="B24" s="3" t="s">
        <v>67</v>
      </c>
      <c r="C24" s="3" t="s">
        <v>13</v>
      </c>
      <c r="D24" s="3" t="s">
        <v>39</v>
      </c>
      <c r="E24" s="3" t="s">
        <v>41</v>
      </c>
      <c r="F24" s="4" t="s">
        <v>15</v>
      </c>
      <c r="G24" s="4" t="s">
        <v>15</v>
      </c>
      <c r="H24" s="5" t="n">
        <f aca="false">IFERROR(INDEX(Ksat_Lookup!$B$9:$B$18,MATCH(F24,Ksat_Lookup!$A$9:$A$18,0)),"")</f>
        <v>-12.5</v>
      </c>
      <c r="I24" s="6" t="n">
        <f aca="false">IF(H24="","",10^H24*Ksat_Lookup!$B$5)</f>
        <v>3.10219438462518E-006</v>
      </c>
      <c r="J24" s="6" t="n">
        <f aca="false">IF(I24="","",I24*Ksat_Lookup!$B$6)</f>
        <v>0.268029594831616</v>
      </c>
      <c r="K24" s="4"/>
      <c r="L24" s="6"/>
    </row>
    <row r="25" customFormat="false" ht="15" hidden="false" customHeight="false" outlineLevel="0" collapsed="false">
      <c r="A25" s="3" t="n">
        <v>24</v>
      </c>
      <c r="B25" s="3" t="s">
        <v>68</v>
      </c>
      <c r="C25" s="3" t="s">
        <v>19</v>
      </c>
      <c r="D25" s="3" t="s">
        <v>21</v>
      </c>
      <c r="E25" s="3" t="s">
        <v>28</v>
      </c>
      <c r="F25" s="4" t="s">
        <v>22</v>
      </c>
      <c r="G25" s="4" t="s">
        <v>23</v>
      </c>
      <c r="H25" s="5" t="n">
        <f aca="false">IFERROR(INDEX(Ksat_Lookup!$B$9:$B$18,MATCH(F25,Ksat_Lookup!$A$9:$A$18,0)),"")</f>
        <v>-15.2</v>
      </c>
      <c r="I25" s="6" t="n">
        <f aca="false">IF(H25="","",10^H25*Ksat_Lookup!$B$5)</f>
        <v>6.18969154935071E-009</v>
      </c>
      <c r="J25" s="6" t="n">
        <f aca="false">IF(I25="","",I25*Ksat_Lookup!$B$6)</f>
        <v>0.000534789349863901</v>
      </c>
      <c r="K25" s="4"/>
      <c r="L25" s="6"/>
    </row>
    <row r="26" customFormat="false" ht="15" hidden="false" customHeight="false" outlineLevel="0" collapsed="false">
      <c r="A26" s="3" t="n">
        <v>25</v>
      </c>
      <c r="B26" s="3" t="s">
        <v>69</v>
      </c>
      <c r="C26" s="3" t="s">
        <v>19</v>
      </c>
      <c r="D26" s="3" t="s">
        <v>70</v>
      </c>
      <c r="E26" s="3" t="s">
        <v>70</v>
      </c>
      <c r="F26" s="4" t="s">
        <v>22</v>
      </c>
      <c r="G26" s="4" t="s">
        <v>23</v>
      </c>
      <c r="H26" s="5" t="n">
        <f aca="false">IFERROR(INDEX(Ksat_Lookup!$B$9:$B$18,MATCH(F26,Ksat_Lookup!$A$9:$A$18,0)),"")</f>
        <v>-15.2</v>
      </c>
      <c r="I26" s="6" t="n">
        <f aca="false">IF(H26="","",10^H26*Ksat_Lookup!$B$5)</f>
        <v>6.18969154935071E-009</v>
      </c>
      <c r="J26" s="6" t="n">
        <f aca="false">IF(I26="","",I26*Ksat_Lookup!$B$6)</f>
        <v>0.000534789349863901</v>
      </c>
      <c r="K26" s="4"/>
      <c r="L26" s="6"/>
    </row>
    <row r="27" customFormat="false" ht="15" hidden="false" customHeight="false" outlineLevel="0" collapsed="false">
      <c r="A27" s="3" t="n">
        <v>26</v>
      </c>
      <c r="B27" s="3" t="s">
        <v>71</v>
      </c>
      <c r="C27" s="3" t="s">
        <v>19</v>
      </c>
      <c r="D27" s="3" t="s">
        <v>72</v>
      </c>
      <c r="E27" s="3" t="s">
        <v>72</v>
      </c>
      <c r="F27" s="4" t="s">
        <v>22</v>
      </c>
      <c r="G27" s="4" t="s">
        <v>23</v>
      </c>
      <c r="H27" s="5" t="n">
        <f aca="false">IFERROR(INDEX(Ksat_Lookup!$B$9:$B$18,MATCH(F27,Ksat_Lookup!$A$9:$A$18,0)),"")</f>
        <v>-15.2</v>
      </c>
      <c r="I27" s="6" t="n">
        <f aca="false">IF(H27="","",10^H27*Ksat_Lookup!$B$5)</f>
        <v>6.18969154935071E-009</v>
      </c>
      <c r="J27" s="6" t="n">
        <f aca="false">IF(I27="","",I27*Ksat_Lookup!$B$6)</f>
        <v>0.000534789349863901</v>
      </c>
      <c r="K27" s="4"/>
      <c r="L27" s="6"/>
    </row>
    <row r="28" customFormat="false" ht="15" hidden="false" customHeight="false" outlineLevel="0" collapsed="false">
      <c r="A28" s="3" t="n">
        <v>27</v>
      </c>
      <c r="B28" s="3" t="s">
        <v>73</v>
      </c>
      <c r="C28" s="3" t="s">
        <v>13</v>
      </c>
      <c r="D28" s="3" t="s">
        <v>74</v>
      </c>
      <c r="E28" s="3" t="s">
        <v>70</v>
      </c>
      <c r="F28" s="4" t="s">
        <v>15</v>
      </c>
      <c r="G28" s="4" t="s">
        <v>15</v>
      </c>
      <c r="H28" s="5" t="n">
        <f aca="false">IFERROR(INDEX(Ksat_Lookup!$B$9:$B$18,MATCH(F28,Ksat_Lookup!$A$9:$A$18,0)),"")</f>
        <v>-12.5</v>
      </c>
      <c r="I28" s="6" t="n">
        <f aca="false">IF(H28="","",10^H28*Ksat_Lookup!$B$5)</f>
        <v>3.10219438462518E-006</v>
      </c>
      <c r="J28" s="6" t="n">
        <f aca="false">IF(I28="","",I28*Ksat_Lookup!$B$6)</f>
        <v>0.268029594831616</v>
      </c>
      <c r="K28" s="4"/>
      <c r="L28" s="6"/>
    </row>
    <row r="29" customFormat="false" ht="15" hidden="false" customHeight="false" outlineLevel="0" collapsed="false">
      <c r="A29" s="3" t="n">
        <v>28</v>
      </c>
      <c r="B29" s="3" t="s">
        <v>75</v>
      </c>
      <c r="C29" s="3" t="s">
        <v>13</v>
      </c>
      <c r="D29" s="3" t="s">
        <v>20</v>
      </c>
      <c r="E29" s="3" t="s">
        <v>20</v>
      </c>
      <c r="F29" s="4" t="s">
        <v>15</v>
      </c>
      <c r="G29" s="4" t="s">
        <v>15</v>
      </c>
      <c r="H29" s="5" t="n">
        <f aca="false">IFERROR(INDEX(Ksat_Lookup!$B$9:$B$18,MATCH(F29,Ksat_Lookup!$A$9:$A$18,0)),"")</f>
        <v>-12.5</v>
      </c>
      <c r="I29" s="6" t="n">
        <f aca="false">IF(H29="","",10^H29*Ksat_Lookup!$B$5)</f>
        <v>3.10219438462518E-006</v>
      </c>
      <c r="J29" s="6" t="n">
        <f aca="false">IF(I29="","",I29*Ksat_Lookup!$B$6)</f>
        <v>0.268029594831616</v>
      </c>
      <c r="K29" s="4"/>
      <c r="L29" s="6"/>
    </row>
    <row r="30" customFormat="false" ht="15" hidden="false" customHeight="false" outlineLevel="0" collapsed="false">
      <c r="A30" s="3" t="n">
        <v>29</v>
      </c>
      <c r="B30" s="3" t="s">
        <v>76</v>
      </c>
      <c r="C30" s="3" t="s">
        <v>50</v>
      </c>
      <c r="D30" s="3" t="s">
        <v>77</v>
      </c>
      <c r="E30" s="3" t="s">
        <v>77</v>
      </c>
      <c r="F30" s="4" t="s">
        <v>51</v>
      </c>
      <c r="G30" s="4" t="s">
        <v>52</v>
      </c>
      <c r="H30" s="5" t="n">
        <f aca="false">IFERROR(INDEX(Ksat_Lookup!$B$9:$B$18,MATCH(F30,Ksat_Lookup!$A$9:$A$18,0)),"")</f>
        <v>-14.1</v>
      </c>
      <c r="I30" s="6" t="n">
        <f aca="false">IF(H30="","",10^H30*Ksat_Lookup!$B$5)</f>
        <v>7.79235998264521E-008</v>
      </c>
      <c r="J30" s="6" t="n">
        <f aca="false">IF(I30="","",I30*Ksat_Lookup!$B$6)</f>
        <v>0.00673259902500546</v>
      </c>
      <c r="K30" s="4"/>
      <c r="L30" s="6"/>
    </row>
    <row r="31" customFormat="false" ht="15" hidden="false" customHeight="false" outlineLevel="0" collapsed="false">
      <c r="A31" s="3" t="n">
        <v>30</v>
      </c>
      <c r="B31" s="3" t="s">
        <v>78</v>
      </c>
      <c r="C31" s="3" t="s">
        <v>19</v>
      </c>
      <c r="D31" s="3" t="s">
        <v>64</v>
      </c>
      <c r="E31" s="3" t="s">
        <v>37</v>
      </c>
      <c r="F31" s="4" t="s">
        <v>22</v>
      </c>
      <c r="G31" s="4" t="s">
        <v>23</v>
      </c>
      <c r="H31" s="5" t="n">
        <f aca="false">IFERROR(INDEX(Ksat_Lookup!$B$9:$B$18,MATCH(F31,Ksat_Lookup!$A$9:$A$18,0)),"")</f>
        <v>-15.2</v>
      </c>
      <c r="I31" s="6" t="n">
        <f aca="false">IF(H31="","",10^H31*Ksat_Lookup!$B$5)</f>
        <v>6.18969154935071E-009</v>
      </c>
      <c r="J31" s="6" t="n">
        <f aca="false">IF(I31="","",I31*Ksat_Lookup!$B$6)</f>
        <v>0.000534789349863901</v>
      </c>
      <c r="K31" s="4"/>
      <c r="L31" s="6"/>
    </row>
    <row r="32" customFormat="false" ht="15" hidden="false" customHeight="false" outlineLevel="0" collapsed="false">
      <c r="A32" s="3" t="n">
        <v>31</v>
      </c>
      <c r="B32" s="3" t="s">
        <v>79</v>
      </c>
      <c r="C32" s="3" t="s">
        <v>19</v>
      </c>
      <c r="D32" s="3" t="s">
        <v>63</v>
      </c>
      <c r="E32" s="3" t="s">
        <v>63</v>
      </c>
      <c r="F32" s="4" t="s">
        <v>22</v>
      </c>
      <c r="G32" s="4" t="s">
        <v>23</v>
      </c>
      <c r="H32" s="5" t="n">
        <f aca="false">IFERROR(INDEX(Ksat_Lookup!$B$9:$B$18,MATCH(F32,Ksat_Lookup!$A$9:$A$18,0)),"")</f>
        <v>-15.2</v>
      </c>
      <c r="I32" s="6" t="n">
        <f aca="false">IF(H32="","",10^H32*Ksat_Lookup!$B$5)</f>
        <v>6.18969154935071E-009</v>
      </c>
      <c r="J32" s="6" t="n">
        <f aca="false">IF(I32="","",I32*Ksat_Lookup!$B$6)</f>
        <v>0.000534789349863901</v>
      </c>
      <c r="K32" s="4"/>
      <c r="L32" s="6"/>
    </row>
    <row r="33" customFormat="false" ht="15" hidden="false" customHeight="false" outlineLevel="0" collapsed="false">
      <c r="A33" s="3" t="n">
        <v>32</v>
      </c>
      <c r="B33" s="3" t="s">
        <v>80</v>
      </c>
      <c r="C33" s="3" t="s">
        <v>13</v>
      </c>
      <c r="D33" s="3" t="s">
        <v>43</v>
      </c>
      <c r="E33" s="3" t="s">
        <v>43</v>
      </c>
      <c r="F33" s="4" t="s">
        <v>15</v>
      </c>
      <c r="G33" s="4" t="s">
        <v>15</v>
      </c>
      <c r="H33" s="5" t="n">
        <f aca="false">IFERROR(INDEX(Ksat_Lookup!$B$9:$B$18,MATCH(F33,Ksat_Lookup!$A$9:$A$18,0)),"")</f>
        <v>-12.5</v>
      </c>
      <c r="I33" s="6" t="n">
        <f aca="false">IF(H33="","",10^H33*Ksat_Lookup!$B$5)</f>
        <v>3.10219438462518E-006</v>
      </c>
      <c r="J33" s="6" t="n">
        <f aca="false">IF(I33="","",I33*Ksat_Lookup!$B$6)</f>
        <v>0.268029594831616</v>
      </c>
      <c r="K33" s="4"/>
      <c r="L33" s="6"/>
    </row>
    <row r="34" customFormat="false" ht="15" hidden="false" customHeight="false" outlineLevel="0" collapsed="false">
      <c r="A34" s="3" t="n">
        <v>33</v>
      </c>
      <c r="B34" s="3" t="s">
        <v>81</v>
      </c>
      <c r="C34" s="3" t="s">
        <v>13</v>
      </c>
      <c r="D34" s="3" t="s">
        <v>37</v>
      </c>
      <c r="E34" s="3" t="s">
        <v>37</v>
      </c>
      <c r="F34" s="4" t="s">
        <v>34</v>
      </c>
      <c r="G34" s="4" t="s">
        <v>35</v>
      </c>
      <c r="H34" s="5" t="n">
        <f aca="false">IFERROR(INDEX(Ksat_Lookup!$B$9:$B$18,MATCH(F34,Ksat_Lookup!$A$9:$A$18,0)),"")</f>
        <v>-13.85</v>
      </c>
      <c r="I34" s="6" t="n">
        <f aca="false">IF(H34="","",10^H34*Ksat_Lookup!$B$5)</f>
        <v>1.38569933127492E-007</v>
      </c>
      <c r="J34" s="6" t="n">
        <f aca="false">IF(I34="","",I34*Ksat_Lookup!$B$6)</f>
        <v>0.0119724422222153</v>
      </c>
      <c r="K34" s="4"/>
      <c r="L34" s="6"/>
    </row>
    <row r="35" customFormat="false" ht="15" hidden="false" customHeight="false" outlineLevel="0" collapsed="false">
      <c r="A35" s="3" t="n">
        <v>34</v>
      </c>
      <c r="B35" s="3" t="s">
        <v>82</v>
      </c>
      <c r="C35" s="3" t="s">
        <v>19</v>
      </c>
      <c r="D35" s="3" t="s">
        <v>14</v>
      </c>
      <c r="E35" s="3" t="s">
        <v>17</v>
      </c>
      <c r="F35" s="4" t="s">
        <v>25</v>
      </c>
      <c r="G35" s="4" t="s">
        <v>83</v>
      </c>
      <c r="H35" s="5" t="n">
        <f aca="false">IFERROR(INDEX(Ksat_Lookup!$B$9:$B$18,MATCH(F35,Ksat_Lookup!$A$9:$A$18,0)),"")</f>
        <v>-13</v>
      </c>
      <c r="I35" s="6" t="n">
        <f aca="false">IF(H35="","",10^H35*Ksat_Lookup!$B$5)</f>
        <v>9.81E-007</v>
      </c>
      <c r="J35" s="6" t="n">
        <f aca="false">IF(I35="","",I35*Ksat_Lookup!$B$6)</f>
        <v>0.0847584</v>
      </c>
      <c r="K35" s="4" t="s">
        <v>22</v>
      </c>
      <c r="L35" s="6" t="n">
        <f aca="false">10^INDEX(Ksat_Lookup!$B$9:$B$18,MATCH(K35,Ksat_Lookup!$A$9:$A$18,0))*Ksat_Lookup!$B$5*Ksat_Lookup!$B$6</f>
        <v>0.000534789349863901</v>
      </c>
    </row>
    <row r="36" customFormat="false" ht="15" hidden="false" customHeight="false" outlineLevel="0" collapsed="false">
      <c r="A36" s="3" t="n">
        <v>35</v>
      </c>
      <c r="B36" s="3" t="s">
        <v>84</v>
      </c>
      <c r="C36" s="3" t="s">
        <v>19</v>
      </c>
      <c r="D36" s="3" t="s">
        <v>37</v>
      </c>
      <c r="E36" s="3" t="s">
        <v>37</v>
      </c>
      <c r="F36" s="4" t="s">
        <v>22</v>
      </c>
      <c r="G36" s="4" t="s">
        <v>23</v>
      </c>
      <c r="H36" s="5" t="n">
        <f aca="false">IFERROR(INDEX(Ksat_Lookup!$B$9:$B$18,MATCH(F36,Ksat_Lookup!$A$9:$A$18,0)),"")</f>
        <v>-15.2</v>
      </c>
      <c r="I36" s="6" t="n">
        <f aca="false">IF(H36="","",10^H36*Ksat_Lookup!$B$5)</f>
        <v>6.18969154935071E-009</v>
      </c>
      <c r="J36" s="6" t="n">
        <f aca="false">IF(I36="","",I36*Ksat_Lookup!$B$6)</f>
        <v>0.000534789349863901</v>
      </c>
      <c r="K36" s="4"/>
      <c r="L36" s="6"/>
    </row>
    <row r="37" customFormat="false" ht="15" hidden="false" customHeight="false" outlineLevel="0" collapsed="false">
      <c r="A37" s="3" t="n">
        <v>36</v>
      </c>
      <c r="B37" s="3" t="s">
        <v>85</v>
      </c>
      <c r="C37" s="3" t="s">
        <v>19</v>
      </c>
      <c r="D37" s="3" t="s">
        <v>17</v>
      </c>
      <c r="E37" s="3" t="s">
        <v>39</v>
      </c>
      <c r="F37" s="4" t="s">
        <v>22</v>
      </c>
      <c r="G37" s="4" t="s">
        <v>23</v>
      </c>
      <c r="H37" s="5" t="n">
        <f aca="false">IFERROR(INDEX(Ksat_Lookup!$B$9:$B$18,MATCH(F37,Ksat_Lookup!$A$9:$A$18,0)),"")</f>
        <v>-15.2</v>
      </c>
      <c r="I37" s="6" t="n">
        <f aca="false">IF(H37="","",10^H37*Ksat_Lookup!$B$5)</f>
        <v>6.18969154935071E-009</v>
      </c>
      <c r="J37" s="6" t="n">
        <f aca="false">IF(I37="","",I37*Ksat_Lookup!$B$6)</f>
        <v>0.000534789349863901</v>
      </c>
      <c r="K37" s="4"/>
      <c r="L37" s="6"/>
    </row>
    <row r="38" customFormat="false" ht="15" hidden="false" customHeight="false" outlineLevel="0" collapsed="false">
      <c r="A38" s="3" t="n">
        <v>37</v>
      </c>
      <c r="B38" s="3" t="s">
        <v>86</v>
      </c>
      <c r="C38" s="3" t="s">
        <v>19</v>
      </c>
      <c r="D38" s="3" t="s">
        <v>87</v>
      </c>
      <c r="E38" s="3" t="s">
        <v>87</v>
      </c>
      <c r="F38" s="4" t="s">
        <v>22</v>
      </c>
      <c r="G38" s="4" t="s">
        <v>23</v>
      </c>
      <c r="H38" s="5" t="n">
        <f aca="false">IFERROR(INDEX(Ksat_Lookup!$B$9:$B$18,MATCH(F38,Ksat_Lookup!$A$9:$A$18,0)),"")</f>
        <v>-15.2</v>
      </c>
      <c r="I38" s="6" t="n">
        <f aca="false">IF(H38="","",10^H38*Ksat_Lookup!$B$5)</f>
        <v>6.18969154935071E-009</v>
      </c>
      <c r="J38" s="6" t="n">
        <f aca="false">IF(I38="","",I38*Ksat_Lookup!$B$6)</f>
        <v>0.000534789349863901</v>
      </c>
      <c r="K38" s="4"/>
      <c r="L38" s="6"/>
    </row>
    <row r="39" customFormat="false" ht="15" hidden="false" customHeight="false" outlineLevel="0" collapsed="false">
      <c r="A39" s="3" t="n">
        <v>38</v>
      </c>
      <c r="B39" s="3" t="s">
        <v>88</v>
      </c>
      <c r="C39" s="3" t="s">
        <v>13</v>
      </c>
      <c r="D39" s="3" t="s">
        <v>41</v>
      </c>
      <c r="E39" s="3" t="s">
        <v>41</v>
      </c>
      <c r="F39" s="4" t="s">
        <v>15</v>
      </c>
      <c r="G39" s="4" t="s">
        <v>15</v>
      </c>
      <c r="H39" s="5" t="n">
        <f aca="false">IFERROR(INDEX(Ksat_Lookup!$B$9:$B$18,MATCH(F39,Ksat_Lookup!$A$9:$A$18,0)),"")</f>
        <v>-12.5</v>
      </c>
      <c r="I39" s="6" t="n">
        <f aca="false">IF(H39="","",10^H39*Ksat_Lookup!$B$5)</f>
        <v>3.10219438462518E-006</v>
      </c>
      <c r="J39" s="6" t="n">
        <f aca="false">IF(I39="","",I39*Ksat_Lookup!$B$6)</f>
        <v>0.268029594831616</v>
      </c>
      <c r="K39" s="4"/>
      <c r="L39" s="6"/>
    </row>
    <row r="40" customFormat="false" ht="15" hidden="false" customHeight="false" outlineLevel="0" collapsed="false">
      <c r="A40" s="3" t="n">
        <v>39</v>
      </c>
      <c r="B40" s="3" t="s">
        <v>89</v>
      </c>
      <c r="C40" s="3" t="s">
        <v>13</v>
      </c>
      <c r="D40" s="3" t="s">
        <v>37</v>
      </c>
      <c r="E40" s="3" t="s">
        <v>37</v>
      </c>
      <c r="F40" s="4" t="s">
        <v>15</v>
      </c>
      <c r="G40" s="4" t="s">
        <v>15</v>
      </c>
      <c r="H40" s="5" t="n">
        <f aca="false">IFERROR(INDEX(Ksat_Lookup!$B$9:$B$18,MATCH(F40,Ksat_Lookup!$A$9:$A$18,0)),"")</f>
        <v>-12.5</v>
      </c>
      <c r="I40" s="6" t="n">
        <f aca="false">IF(H40="","",10^H40*Ksat_Lookup!$B$5)</f>
        <v>3.10219438462518E-006</v>
      </c>
      <c r="J40" s="6" t="n">
        <f aca="false">IF(I40="","",I40*Ksat_Lookup!$B$6)</f>
        <v>0.268029594831616</v>
      </c>
      <c r="K40" s="4"/>
      <c r="L40" s="6"/>
    </row>
    <row r="41" customFormat="false" ht="15" hidden="false" customHeight="false" outlineLevel="0" collapsed="false">
      <c r="A41" s="3" t="n">
        <v>40</v>
      </c>
      <c r="B41" s="3" t="s">
        <v>90</v>
      </c>
      <c r="C41" s="3" t="s">
        <v>13</v>
      </c>
      <c r="D41" s="3" t="s">
        <v>54</v>
      </c>
      <c r="E41" s="3" t="s">
        <v>54</v>
      </c>
      <c r="F41" s="4" t="s">
        <v>15</v>
      </c>
      <c r="G41" s="4" t="s">
        <v>15</v>
      </c>
      <c r="H41" s="5" t="n">
        <f aca="false">IFERROR(INDEX(Ksat_Lookup!$B$9:$B$18,MATCH(F41,Ksat_Lookup!$A$9:$A$18,0)),"")</f>
        <v>-12.5</v>
      </c>
      <c r="I41" s="6" t="n">
        <f aca="false">IF(H41="","",10^H41*Ksat_Lookup!$B$5)</f>
        <v>3.10219438462518E-006</v>
      </c>
      <c r="J41" s="6" t="n">
        <f aca="false">IF(I41="","",I41*Ksat_Lookup!$B$6)</f>
        <v>0.268029594831616</v>
      </c>
      <c r="K41" s="4"/>
      <c r="L41" s="6"/>
    </row>
    <row r="42" customFormat="false" ht="15" hidden="false" customHeight="false" outlineLevel="0" collapsed="false">
      <c r="A42" s="3" t="n">
        <v>41</v>
      </c>
      <c r="B42" s="3" t="s">
        <v>91</v>
      </c>
      <c r="C42" s="3" t="s">
        <v>13</v>
      </c>
      <c r="D42" s="3" t="s">
        <v>41</v>
      </c>
      <c r="E42" s="3" t="s">
        <v>41</v>
      </c>
      <c r="F42" s="4" t="s">
        <v>15</v>
      </c>
      <c r="G42" s="4" t="s">
        <v>15</v>
      </c>
      <c r="H42" s="5" t="n">
        <f aca="false">IFERROR(INDEX(Ksat_Lookup!$B$9:$B$18,MATCH(F42,Ksat_Lookup!$A$9:$A$18,0)),"")</f>
        <v>-12.5</v>
      </c>
      <c r="I42" s="6" t="n">
        <f aca="false">IF(H42="","",10^H42*Ksat_Lookup!$B$5)</f>
        <v>3.10219438462518E-006</v>
      </c>
      <c r="J42" s="6" t="n">
        <f aca="false">IF(I42="","",I42*Ksat_Lookup!$B$6)</f>
        <v>0.268029594831616</v>
      </c>
      <c r="K42" s="4"/>
      <c r="L42" s="6"/>
    </row>
    <row r="43" customFormat="false" ht="15" hidden="false" customHeight="false" outlineLevel="0" collapsed="false">
      <c r="A43" s="3" t="n">
        <v>42</v>
      </c>
      <c r="B43" s="3" t="s">
        <v>92</v>
      </c>
      <c r="C43" s="3" t="s">
        <v>19</v>
      </c>
      <c r="D43" s="3" t="s">
        <v>41</v>
      </c>
      <c r="E43" s="3" t="s">
        <v>41</v>
      </c>
      <c r="F43" s="4" t="s">
        <v>22</v>
      </c>
      <c r="G43" s="4" t="s">
        <v>23</v>
      </c>
      <c r="H43" s="5" t="n">
        <f aca="false">IFERROR(INDEX(Ksat_Lookup!$B$9:$B$18,MATCH(F43,Ksat_Lookup!$A$9:$A$18,0)),"")</f>
        <v>-15.2</v>
      </c>
      <c r="I43" s="6" t="n">
        <f aca="false">IF(H43="","",10^H43*Ksat_Lookup!$B$5)</f>
        <v>6.18969154935071E-009</v>
      </c>
      <c r="J43" s="6" t="n">
        <f aca="false">IF(I43="","",I43*Ksat_Lookup!$B$6)</f>
        <v>0.000534789349863901</v>
      </c>
      <c r="K43" s="4"/>
      <c r="L43" s="6"/>
    </row>
    <row r="44" customFormat="false" ht="15" hidden="false" customHeight="false" outlineLevel="0" collapsed="false">
      <c r="A44" s="3" t="n">
        <v>43</v>
      </c>
      <c r="B44" s="3" t="s">
        <v>93</v>
      </c>
      <c r="C44" s="3" t="s">
        <v>13</v>
      </c>
      <c r="D44" s="3" t="s">
        <v>21</v>
      </c>
      <c r="E44" s="3" t="s">
        <v>28</v>
      </c>
      <c r="F44" s="4" t="s">
        <v>15</v>
      </c>
      <c r="G44" s="4" t="s">
        <v>15</v>
      </c>
      <c r="H44" s="5" t="n">
        <f aca="false">IFERROR(INDEX(Ksat_Lookup!$B$9:$B$18,MATCH(F44,Ksat_Lookup!$A$9:$A$18,0)),"")</f>
        <v>-12.5</v>
      </c>
      <c r="I44" s="6" t="n">
        <f aca="false">IF(H44="","",10^H44*Ksat_Lookup!$B$5)</f>
        <v>3.10219438462518E-006</v>
      </c>
      <c r="J44" s="6" t="n">
        <f aca="false">IF(I44="","",I44*Ksat_Lookup!$B$6)</f>
        <v>0.268029594831616</v>
      </c>
      <c r="K44" s="4"/>
      <c r="L44" s="6"/>
    </row>
    <row r="45" customFormat="false" ht="15" hidden="false" customHeight="false" outlineLevel="0" collapsed="false">
      <c r="A45" s="3" t="n">
        <v>44</v>
      </c>
      <c r="B45" s="3" t="s">
        <v>94</v>
      </c>
      <c r="C45" s="3" t="s">
        <v>13</v>
      </c>
      <c r="D45" s="3" t="s">
        <v>74</v>
      </c>
      <c r="E45" s="3" t="s">
        <v>70</v>
      </c>
      <c r="F45" s="4" t="s">
        <v>15</v>
      </c>
      <c r="G45" s="4" t="s">
        <v>15</v>
      </c>
      <c r="H45" s="5" t="n">
        <f aca="false">IFERROR(INDEX(Ksat_Lookup!$B$9:$B$18,MATCH(F45,Ksat_Lookup!$A$9:$A$18,0)),"")</f>
        <v>-12.5</v>
      </c>
      <c r="I45" s="6" t="n">
        <f aca="false">IF(H45="","",10^H45*Ksat_Lookup!$B$5)</f>
        <v>3.10219438462518E-006</v>
      </c>
      <c r="J45" s="6" t="n">
        <f aca="false">IF(I45="","",I45*Ksat_Lookup!$B$6)</f>
        <v>0.268029594831616</v>
      </c>
      <c r="K45" s="4"/>
      <c r="L45" s="6"/>
    </row>
    <row r="46" customFormat="false" ht="15" hidden="false" customHeight="false" outlineLevel="0" collapsed="false">
      <c r="A46" s="3" t="n">
        <v>45</v>
      </c>
      <c r="B46" s="3" t="s">
        <v>95</v>
      </c>
      <c r="C46" s="3" t="s">
        <v>13</v>
      </c>
      <c r="D46" s="3" t="s">
        <v>74</v>
      </c>
      <c r="E46" s="3" t="s">
        <v>70</v>
      </c>
      <c r="F46" s="4" t="s">
        <v>15</v>
      </c>
      <c r="G46" s="4" t="s">
        <v>15</v>
      </c>
      <c r="H46" s="5" t="n">
        <f aca="false">IFERROR(INDEX(Ksat_Lookup!$B$9:$B$18,MATCH(F46,Ksat_Lookup!$A$9:$A$18,0)),"")</f>
        <v>-12.5</v>
      </c>
      <c r="I46" s="6" t="n">
        <f aca="false">IF(H46="","",10^H46*Ksat_Lookup!$B$5)</f>
        <v>3.10219438462518E-006</v>
      </c>
      <c r="J46" s="6" t="n">
        <f aca="false">IF(I46="","",I46*Ksat_Lookup!$B$6)</f>
        <v>0.268029594831616</v>
      </c>
      <c r="K46" s="4"/>
      <c r="L46" s="6"/>
    </row>
    <row r="47" customFormat="false" ht="15" hidden="false" customHeight="false" outlineLevel="0" collapsed="false">
      <c r="A47" s="3" t="n">
        <v>46</v>
      </c>
      <c r="B47" s="3" t="s">
        <v>96</v>
      </c>
      <c r="C47" s="3" t="s">
        <v>50</v>
      </c>
      <c r="D47" s="3" t="s">
        <v>74</v>
      </c>
      <c r="E47" s="3" t="s">
        <v>74</v>
      </c>
      <c r="F47" s="4" t="s">
        <v>51</v>
      </c>
      <c r="G47" s="4" t="s">
        <v>52</v>
      </c>
      <c r="H47" s="5" t="n">
        <f aca="false">IFERROR(INDEX(Ksat_Lookup!$B$9:$B$18,MATCH(F47,Ksat_Lookup!$A$9:$A$18,0)),"")</f>
        <v>-14.1</v>
      </c>
      <c r="I47" s="6" t="n">
        <f aca="false">IF(H47="","",10^H47*Ksat_Lookup!$B$5)</f>
        <v>7.79235998264521E-008</v>
      </c>
      <c r="J47" s="6" t="n">
        <f aca="false">IF(I47="","",I47*Ksat_Lookup!$B$6)</f>
        <v>0.00673259902500546</v>
      </c>
      <c r="K47" s="4"/>
      <c r="L47" s="6"/>
    </row>
    <row r="48" customFormat="false" ht="15" hidden="false" customHeight="false" outlineLevel="0" collapsed="false">
      <c r="A48" s="3" t="n">
        <v>47</v>
      </c>
      <c r="B48" s="3" t="s">
        <v>97</v>
      </c>
      <c r="C48" s="3" t="s">
        <v>50</v>
      </c>
      <c r="D48" s="3" t="s">
        <v>39</v>
      </c>
      <c r="E48" s="3" t="s">
        <v>41</v>
      </c>
      <c r="F48" s="4" t="s">
        <v>51</v>
      </c>
      <c r="G48" s="4" t="s">
        <v>52</v>
      </c>
      <c r="H48" s="5" t="n">
        <f aca="false">IFERROR(INDEX(Ksat_Lookup!$B$9:$B$18,MATCH(F48,Ksat_Lookup!$A$9:$A$18,0)),"")</f>
        <v>-14.1</v>
      </c>
      <c r="I48" s="6" t="n">
        <f aca="false">IF(H48="","",10^H48*Ksat_Lookup!$B$5)</f>
        <v>7.79235998264521E-008</v>
      </c>
      <c r="J48" s="6" t="n">
        <f aca="false">IF(I48="","",I48*Ksat_Lookup!$B$6)</f>
        <v>0.00673259902500546</v>
      </c>
      <c r="K48" s="4"/>
      <c r="L48" s="6"/>
    </row>
    <row r="49" customFormat="false" ht="15" hidden="false" customHeight="false" outlineLevel="0" collapsed="false">
      <c r="A49" s="3" t="n">
        <v>48</v>
      </c>
      <c r="B49" s="3" t="s">
        <v>98</v>
      </c>
      <c r="C49" s="3" t="s">
        <v>13</v>
      </c>
      <c r="D49" s="3" t="s">
        <v>63</v>
      </c>
      <c r="E49" s="3" t="s">
        <v>63</v>
      </c>
      <c r="F49" s="4" t="s">
        <v>15</v>
      </c>
      <c r="G49" s="4" t="s">
        <v>15</v>
      </c>
      <c r="H49" s="5" t="n">
        <f aca="false">IFERROR(INDEX(Ksat_Lookup!$B$9:$B$18,MATCH(F49,Ksat_Lookup!$A$9:$A$18,0)),"")</f>
        <v>-12.5</v>
      </c>
      <c r="I49" s="6" t="n">
        <f aca="false">IF(H49="","",10^H49*Ksat_Lookup!$B$5)</f>
        <v>3.10219438462518E-006</v>
      </c>
      <c r="J49" s="6" t="n">
        <f aca="false">IF(I49="","",I49*Ksat_Lookup!$B$6)</f>
        <v>0.268029594831616</v>
      </c>
      <c r="K49" s="4"/>
      <c r="L49" s="6"/>
    </row>
    <row r="50" customFormat="false" ht="15" hidden="false" customHeight="false" outlineLevel="0" collapsed="false">
      <c r="A50" s="3" t="n">
        <v>49</v>
      </c>
      <c r="B50" s="3" t="s">
        <v>99</v>
      </c>
      <c r="C50" s="3" t="s">
        <v>50</v>
      </c>
      <c r="D50" s="3" t="s">
        <v>41</v>
      </c>
      <c r="E50" s="3" t="s">
        <v>41</v>
      </c>
      <c r="F50" s="4" t="s">
        <v>51</v>
      </c>
      <c r="G50" s="4" t="s">
        <v>52</v>
      </c>
      <c r="H50" s="5" t="n">
        <f aca="false">IFERROR(INDEX(Ksat_Lookup!$B$9:$B$18,MATCH(F50,Ksat_Lookup!$A$9:$A$18,0)),"")</f>
        <v>-14.1</v>
      </c>
      <c r="I50" s="6" t="n">
        <f aca="false">IF(H50="","",10^H50*Ksat_Lookup!$B$5)</f>
        <v>7.79235998264521E-008</v>
      </c>
      <c r="J50" s="6" t="n">
        <f aca="false">IF(I50="","",I50*Ksat_Lookup!$B$6)</f>
        <v>0.00673259902500546</v>
      </c>
      <c r="K50" s="4"/>
      <c r="L50" s="6"/>
    </row>
    <row r="51" customFormat="false" ht="15" hidden="false" customHeight="false" outlineLevel="0" collapsed="false">
      <c r="A51" s="3" t="n">
        <v>50</v>
      </c>
      <c r="B51" s="3" t="s">
        <v>100</v>
      </c>
      <c r="C51" s="3" t="s">
        <v>50</v>
      </c>
      <c r="D51" s="3" t="s">
        <v>64</v>
      </c>
      <c r="E51" s="3" t="s">
        <v>64</v>
      </c>
      <c r="F51" s="4" t="s">
        <v>51</v>
      </c>
      <c r="G51" s="4" t="s">
        <v>52</v>
      </c>
      <c r="H51" s="5" t="n">
        <f aca="false">IFERROR(INDEX(Ksat_Lookup!$B$9:$B$18,MATCH(F51,Ksat_Lookup!$A$9:$A$18,0)),"")</f>
        <v>-14.1</v>
      </c>
      <c r="I51" s="6" t="n">
        <f aca="false">IF(H51="","",10^H51*Ksat_Lookup!$B$5)</f>
        <v>7.79235998264521E-008</v>
      </c>
      <c r="J51" s="6" t="n">
        <f aca="false">IF(I51="","",I51*Ksat_Lookup!$B$6)</f>
        <v>0.00673259902500546</v>
      </c>
      <c r="K51" s="4"/>
      <c r="L51" s="6"/>
    </row>
    <row r="52" customFormat="false" ht="15" hidden="false" customHeight="false" outlineLevel="0" collapsed="false">
      <c r="A52" s="3" t="n">
        <v>51</v>
      </c>
      <c r="B52" s="3" t="s">
        <v>101</v>
      </c>
      <c r="C52" s="3" t="s">
        <v>13</v>
      </c>
      <c r="D52" s="3" t="s">
        <v>64</v>
      </c>
      <c r="E52" s="3" t="s">
        <v>37</v>
      </c>
      <c r="F52" s="4" t="s">
        <v>34</v>
      </c>
      <c r="G52" s="4" t="s">
        <v>35</v>
      </c>
      <c r="H52" s="5" t="n">
        <f aca="false">IFERROR(INDEX(Ksat_Lookup!$B$9:$B$18,MATCH(F52,Ksat_Lookup!$A$9:$A$18,0)),"")</f>
        <v>-13.85</v>
      </c>
      <c r="I52" s="6" t="n">
        <f aca="false">IF(H52="","",10^H52*Ksat_Lookup!$B$5)</f>
        <v>1.38569933127492E-007</v>
      </c>
      <c r="J52" s="6" t="n">
        <f aca="false">IF(I52="","",I52*Ksat_Lookup!$B$6)</f>
        <v>0.0119724422222153</v>
      </c>
      <c r="K52" s="4"/>
      <c r="L52" s="6"/>
    </row>
    <row r="53" customFormat="false" ht="15" hidden="false" customHeight="false" outlineLevel="0" collapsed="false">
      <c r="A53" s="3" t="n">
        <v>52</v>
      </c>
      <c r="B53" s="3" t="s">
        <v>102</v>
      </c>
      <c r="C53" s="3" t="s">
        <v>13</v>
      </c>
      <c r="D53" s="3" t="s">
        <v>37</v>
      </c>
      <c r="E53" s="3" t="s">
        <v>37</v>
      </c>
      <c r="F53" s="4" t="s">
        <v>15</v>
      </c>
      <c r="G53" s="4" t="s">
        <v>15</v>
      </c>
      <c r="H53" s="5" t="n">
        <f aca="false">IFERROR(INDEX(Ksat_Lookup!$B$9:$B$18,MATCH(F53,Ksat_Lookup!$A$9:$A$18,0)),"")</f>
        <v>-12.5</v>
      </c>
      <c r="I53" s="6" t="n">
        <f aca="false">IF(H53="","",10^H53*Ksat_Lookup!$B$5)</f>
        <v>3.10219438462518E-006</v>
      </c>
      <c r="J53" s="6" t="n">
        <f aca="false">IF(I53="","",I53*Ksat_Lookup!$B$6)</f>
        <v>0.268029594831616</v>
      </c>
      <c r="K53" s="4"/>
      <c r="L53" s="6"/>
    </row>
    <row r="54" customFormat="false" ht="15" hidden="false" customHeight="false" outlineLevel="0" collapsed="false">
      <c r="A54" s="3" t="n">
        <v>53</v>
      </c>
      <c r="B54" s="3" t="s">
        <v>103</v>
      </c>
      <c r="C54" s="3" t="s">
        <v>13</v>
      </c>
      <c r="D54" s="3" t="s">
        <v>63</v>
      </c>
      <c r="E54" s="3" t="s">
        <v>63</v>
      </c>
      <c r="F54" s="4" t="s">
        <v>15</v>
      </c>
      <c r="G54" s="4" t="s">
        <v>15</v>
      </c>
      <c r="H54" s="5" t="n">
        <f aca="false">IFERROR(INDEX(Ksat_Lookup!$B$9:$B$18,MATCH(F54,Ksat_Lookup!$A$9:$A$18,0)),"")</f>
        <v>-12.5</v>
      </c>
      <c r="I54" s="6" t="n">
        <f aca="false">IF(H54="","",10^H54*Ksat_Lookup!$B$5)</f>
        <v>3.10219438462518E-006</v>
      </c>
      <c r="J54" s="6" t="n">
        <f aca="false">IF(I54="","",I54*Ksat_Lookup!$B$6)</f>
        <v>0.268029594831616</v>
      </c>
      <c r="K54" s="4"/>
      <c r="L54" s="6"/>
    </row>
    <row r="55" customFormat="false" ht="15" hidden="false" customHeight="false" outlineLevel="0" collapsed="false">
      <c r="A55" s="3" t="n">
        <v>54</v>
      </c>
      <c r="B55" s="3" t="s">
        <v>104</v>
      </c>
      <c r="C55" s="3" t="s">
        <v>19</v>
      </c>
      <c r="D55" s="3" t="s">
        <v>41</v>
      </c>
      <c r="E55" s="3" t="s">
        <v>20</v>
      </c>
      <c r="F55" s="4" t="s">
        <v>22</v>
      </c>
      <c r="G55" s="4" t="s">
        <v>23</v>
      </c>
      <c r="H55" s="5" t="n">
        <f aca="false">IFERROR(INDEX(Ksat_Lookup!$B$9:$B$18,MATCH(F55,Ksat_Lookup!$A$9:$A$18,0)),"")</f>
        <v>-15.2</v>
      </c>
      <c r="I55" s="6" t="n">
        <f aca="false">IF(H55="","",10^H55*Ksat_Lookup!$B$5)</f>
        <v>6.18969154935071E-009</v>
      </c>
      <c r="J55" s="6" t="n">
        <f aca="false">IF(I55="","",I55*Ksat_Lookup!$B$6)</f>
        <v>0.000534789349863901</v>
      </c>
      <c r="K55" s="4"/>
      <c r="L55" s="6"/>
    </row>
    <row r="56" customFormat="false" ht="15" hidden="false" customHeight="false" outlineLevel="0" collapsed="false">
      <c r="A56" s="3" t="n">
        <v>55</v>
      </c>
      <c r="B56" s="3" t="s">
        <v>105</v>
      </c>
      <c r="C56" s="3" t="s">
        <v>50</v>
      </c>
      <c r="D56" s="3" t="s">
        <v>106</v>
      </c>
      <c r="E56" s="3" t="s">
        <v>106</v>
      </c>
      <c r="F56" s="4" t="s">
        <v>51</v>
      </c>
      <c r="G56" s="4" t="s">
        <v>52</v>
      </c>
      <c r="H56" s="5" t="n">
        <f aca="false">IFERROR(INDEX(Ksat_Lookup!$B$9:$B$18,MATCH(F56,Ksat_Lookup!$A$9:$A$18,0)),"")</f>
        <v>-14.1</v>
      </c>
      <c r="I56" s="6" t="n">
        <f aca="false">IF(H56="","",10^H56*Ksat_Lookup!$B$5)</f>
        <v>7.79235998264521E-008</v>
      </c>
      <c r="J56" s="6" t="n">
        <f aca="false">IF(I56="","",I56*Ksat_Lookup!$B$6)</f>
        <v>0.00673259902500546</v>
      </c>
      <c r="K56" s="4"/>
      <c r="L56" s="6"/>
    </row>
    <row r="57" customFormat="false" ht="15" hidden="false" customHeight="false" outlineLevel="0" collapsed="false">
      <c r="A57" s="3" t="n">
        <v>56</v>
      </c>
      <c r="B57" s="3" t="s">
        <v>107</v>
      </c>
      <c r="C57" s="3" t="s">
        <v>50</v>
      </c>
      <c r="D57" s="3" t="s">
        <v>66</v>
      </c>
      <c r="E57" s="3" t="s">
        <v>108</v>
      </c>
      <c r="F57" s="4" t="s">
        <v>51</v>
      </c>
      <c r="G57" s="4" t="s">
        <v>52</v>
      </c>
      <c r="H57" s="5" t="n">
        <f aca="false">IFERROR(INDEX(Ksat_Lookup!$B$9:$B$18,MATCH(F57,Ksat_Lookup!$A$9:$A$18,0)),"")</f>
        <v>-14.1</v>
      </c>
      <c r="I57" s="6" t="n">
        <f aca="false">IF(H57="","",10^H57*Ksat_Lookup!$B$5)</f>
        <v>7.79235998264521E-008</v>
      </c>
      <c r="J57" s="6" t="n">
        <f aca="false">IF(I57="","",I57*Ksat_Lookup!$B$6)</f>
        <v>0.00673259902500546</v>
      </c>
      <c r="K57" s="4"/>
      <c r="L57" s="6"/>
    </row>
    <row r="58" customFormat="false" ht="15" hidden="false" customHeight="false" outlineLevel="0" collapsed="false">
      <c r="A58" s="3" t="n">
        <v>57</v>
      </c>
      <c r="B58" s="3" t="s">
        <v>109</v>
      </c>
      <c r="C58" s="3" t="s">
        <v>13</v>
      </c>
      <c r="D58" s="3" t="s">
        <v>63</v>
      </c>
      <c r="E58" s="3" t="s">
        <v>64</v>
      </c>
      <c r="F58" s="4" t="s">
        <v>15</v>
      </c>
      <c r="G58" s="4" t="s">
        <v>15</v>
      </c>
      <c r="H58" s="5" t="n">
        <f aca="false">IFERROR(INDEX(Ksat_Lookup!$B$9:$B$18,MATCH(F58,Ksat_Lookup!$A$9:$A$18,0)),"")</f>
        <v>-12.5</v>
      </c>
      <c r="I58" s="6" t="n">
        <f aca="false">IF(H58="","",10^H58*Ksat_Lookup!$B$5)</f>
        <v>3.10219438462518E-006</v>
      </c>
      <c r="J58" s="6" t="n">
        <f aca="false">IF(I58="","",I58*Ksat_Lookup!$B$6)</f>
        <v>0.268029594831616</v>
      </c>
      <c r="K58" s="4"/>
      <c r="L58" s="6"/>
    </row>
    <row r="59" customFormat="false" ht="15" hidden="false" customHeight="false" outlineLevel="0" collapsed="false">
      <c r="A59" s="3" t="n">
        <v>58</v>
      </c>
      <c r="B59" s="3" t="s">
        <v>110</v>
      </c>
      <c r="C59" s="3" t="s">
        <v>13</v>
      </c>
      <c r="D59" s="3" t="s">
        <v>41</v>
      </c>
      <c r="E59" s="3" t="s">
        <v>41</v>
      </c>
      <c r="F59" s="4" t="s">
        <v>15</v>
      </c>
      <c r="G59" s="4" t="s">
        <v>15</v>
      </c>
      <c r="H59" s="5" t="n">
        <f aca="false">IFERROR(INDEX(Ksat_Lookup!$B$9:$B$18,MATCH(F59,Ksat_Lookup!$A$9:$A$18,0)),"")</f>
        <v>-12.5</v>
      </c>
      <c r="I59" s="6" t="n">
        <f aca="false">IF(H59="","",10^H59*Ksat_Lookup!$B$5)</f>
        <v>3.10219438462518E-006</v>
      </c>
      <c r="J59" s="6" t="n">
        <f aca="false">IF(I59="","",I59*Ksat_Lookup!$B$6)</f>
        <v>0.268029594831616</v>
      </c>
      <c r="K59" s="4"/>
      <c r="L59" s="6"/>
    </row>
    <row r="60" customFormat="false" ht="15" hidden="false" customHeight="false" outlineLevel="0" collapsed="false">
      <c r="A60" s="3" t="n">
        <v>59</v>
      </c>
      <c r="B60" s="3" t="s">
        <v>111</v>
      </c>
      <c r="C60" s="3" t="s">
        <v>19</v>
      </c>
      <c r="D60" s="3" t="s">
        <v>20</v>
      </c>
      <c r="E60" s="3" t="s">
        <v>28</v>
      </c>
      <c r="F60" s="4" t="s">
        <v>22</v>
      </c>
      <c r="G60" s="4" t="s">
        <v>23</v>
      </c>
      <c r="H60" s="5" t="n">
        <f aca="false">IFERROR(INDEX(Ksat_Lookup!$B$9:$B$18,MATCH(F60,Ksat_Lookup!$A$9:$A$18,0)),"")</f>
        <v>-15.2</v>
      </c>
      <c r="I60" s="6" t="n">
        <f aca="false">IF(H60="","",10^H60*Ksat_Lookup!$B$5)</f>
        <v>6.18969154935071E-009</v>
      </c>
      <c r="J60" s="6" t="n">
        <f aca="false">IF(I60="","",I60*Ksat_Lookup!$B$6)</f>
        <v>0.000534789349863901</v>
      </c>
      <c r="K60" s="4"/>
      <c r="L60" s="6"/>
    </row>
    <row r="61" customFormat="false" ht="15" hidden="false" customHeight="false" outlineLevel="0" collapsed="false">
      <c r="A61" s="3" t="n">
        <v>60</v>
      </c>
      <c r="B61" s="3" t="s">
        <v>112</v>
      </c>
      <c r="C61" s="3" t="s">
        <v>13</v>
      </c>
      <c r="D61" s="3" t="s">
        <v>37</v>
      </c>
      <c r="E61" s="3" t="s">
        <v>37</v>
      </c>
      <c r="F61" s="4" t="s">
        <v>15</v>
      </c>
      <c r="G61" s="4" t="s">
        <v>15</v>
      </c>
      <c r="H61" s="5" t="n">
        <f aca="false">IFERROR(INDEX(Ksat_Lookup!$B$9:$B$18,MATCH(F61,Ksat_Lookup!$A$9:$A$18,0)),"")</f>
        <v>-12.5</v>
      </c>
      <c r="I61" s="6" t="n">
        <f aca="false">IF(H61="","",10^H61*Ksat_Lookup!$B$5)</f>
        <v>3.10219438462518E-006</v>
      </c>
      <c r="J61" s="6" t="n">
        <f aca="false">IF(I61="","",I61*Ksat_Lookup!$B$6)</f>
        <v>0.268029594831616</v>
      </c>
      <c r="K61" s="4"/>
      <c r="L61" s="6"/>
    </row>
    <row r="62" customFormat="false" ht="15" hidden="false" customHeight="false" outlineLevel="0" collapsed="false">
      <c r="A62" s="3" t="n">
        <v>61</v>
      </c>
      <c r="B62" s="3" t="s">
        <v>113</v>
      </c>
      <c r="C62" s="3" t="s">
        <v>19</v>
      </c>
      <c r="D62" s="3" t="s">
        <v>20</v>
      </c>
      <c r="E62" s="3" t="s">
        <v>114</v>
      </c>
      <c r="F62" s="4" t="s">
        <v>22</v>
      </c>
      <c r="G62" s="4" t="s">
        <v>23</v>
      </c>
      <c r="H62" s="5" t="n">
        <f aca="false">IFERROR(INDEX(Ksat_Lookup!$B$9:$B$18,MATCH(F62,Ksat_Lookup!$A$9:$A$18,0)),"")</f>
        <v>-15.2</v>
      </c>
      <c r="I62" s="6" t="n">
        <f aca="false">IF(H62="","",10^H62*Ksat_Lookup!$B$5)</f>
        <v>6.18969154935071E-009</v>
      </c>
      <c r="J62" s="6" t="n">
        <f aca="false">IF(I62="","",I62*Ksat_Lookup!$B$6)</f>
        <v>0.000534789349863901</v>
      </c>
      <c r="K62" s="4"/>
      <c r="L62" s="6"/>
    </row>
    <row r="63" customFormat="false" ht="15" hidden="false" customHeight="false" outlineLevel="0" collapsed="false">
      <c r="A63" s="3" t="n">
        <v>62</v>
      </c>
      <c r="B63" s="3" t="s">
        <v>115</v>
      </c>
      <c r="C63" s="3" t="s">
        <v>13</v>
      </c>
      <c r="D63" s="3" t="s">
        <v>72</v>
      </c>
      <c r="E63" s="3" t="s">
        <v>72</v>
      </c>
      <c r="F63" s="4" t="s">
        <v>15</v>
      </c>
      <c r="G63" s="4" t="s">
        <v>15</v>
      </c>
      <c r="H63" s="5" t="n">
        <f aca="false">IFERROR(INDEX(Ksat_Lookup!$B$9:$B$18,MATCH(F63,Ksat_Lookup!$A$9:$A$18,0)),"")</f>
        <v>-12.5</v>
      </c>
      <c r="I63" s="6" t="n">
        <f aca="false">IF(H63="","",10^H63*Ksat_Lookup!$B$5)</f>
        <v>3.10219438462518E-006</v>
      </c>
      <c r="J63" s="6" t="n">
        <f aca="false">IF(I63="","",I63*Ksat_Lookup!$B$6)</f>
        <v>0.268029594831616</v>
      </c>
      <c r="K63" s="4"/>
      <c r="L63" s="6"/>
    </row>
    <row r="64" customFormat="false" ht="15" hidden="false" customHeight="false" outlineLevel="0" collapsed="false">
      <c r="A64" s="3" t="n">
        <v>63</v>
      </c>
      <c r="B64" s="3" t="s">
        <v>116</v>
      </c>
      <c r="C64" s="3" t="s">
        <v>19</v>
      </c>
      <c r="D64" s="3" t="s">
        <v>20</v>
      </c>
      <c r="E64" s="3" t="s">
        <v>20</v>
      </c>
      <c r="F64" s="4" t="s">
        <v>22</v>
      </c>
      <c r="G64" s="4" t="s">
        <v>23</v>
      </c>
      <c r="H64" s="5" t="n">
        <f aca="false">IFERROR(INDEX(Ksat_Lookup!$B$9:$B$18,MATCH(F64,Ksat_Lookup!$A$9:$A$18,0)),"")</f>
        <v>-15.2</v>
      </c>
      <c r="I64" s="6" t="n">
        <f aca="false">IF(H64="","",10^H64*Ksat_Lookup!$B$5)</f>
        <v>6.18969154935071E-009</v>
      </c>
      <c r="J64" s="6" t="n">
        <f aca="false">IF(I64="","",I64*Ksat_Lookup!$B$6)</f>
        <v>0.000534789349863901</v>
      </c>
      <c r="K64" s="4"/>
      <c r="L64" s="6"/>
    </row>
    <row r="65" customFormat="false" ht="15" hidden="false" customHeight="false" outlineLevel="0" collapsed="false">
      <c r="A65" s="3" t="n">
        <v>64</v>
      </c>
      <c r="B65" s="3" t="s">
        <v>117</v>
      </c>
      <c r="C65" s="3" t="s">
        <v>13</v>
      </c>
      <c r="D65" s="3" t="s">
        <v>63</v>
      </c>
      <c r="E65" s="3" t="s">
        <v>64</v>
      </c>
      <c r="F65" s="4" t="s">
        <v>34</v>
      </c>
      <c r="G65" s="4" t="s">
        <v>35</v>
      </c>
      <c r="H65" s="5" t="n">
        <f aca="false">IFERROR(INDEX(Ksat_Lookup!$B$9:$B$18,MATCH(F65,Ksat_Lookup!$A$9:$A$18,0)),"")</f>
        <v>-13.85</v>
      </c>
      <c r="I65" s="6" t="n">
        <f aca="false">IF(H65="","",10^H65*Ksat_Lookup!$B$5)</f>
        <v>1.38569933127492E-007</v>
      </c>
      <c r="J65" s="6" t="n">
        <f aca="false">IF(I65="","",I65*Ksat_Lookup!$B$6)</f>
        <v>0.0119724422222153</v>
      </c>
      <c r="K65" s="4"/>
      <c r="L65" s="6"/>
    </row>
    <row r="66" customFormat="false" ht="15" hidden="false" customHeight="false" outlineLevel="0" collapsed="false">
      <c r="A66" s="3" t="n">
        <v>65</v>
      </c>
      <c r="B66" s="3" t="s">
        <v>118</v>
      </c>
      <c r="C66" s="3" t="s">
        <v>19</v>
      </c>
      <c r="D66" s="3" t="s">
        <v>28</v>
      </c>
      <c r="E66" s="3" t="s">
        <v>28</v>
      </c>
      <c r="F66" s="4" t="s">
        <v>22</v>
      </c>
      <c r="G66" s="4" t="s">
        <v>23</v>
      </c>
      <c r="H66" s="5" t="n">
        <f aca="false">IFERROR(INDEX(Ksat_Lookup!$B$9:$B$18,MATCH(F66,Ksat_Lookup!$A$9:$A$18,0)),"")</f>
        <v>-15.2</v>
      </c>
      <c r="I66" s="6" t="n">
        <f aca="false">IF(H66="","",10^H66*Ksat_Lookup!$B$5)</f>
        <v>6.18969154935071E-009</v>
      </c>
      <c r="J66" s="6" t="n">
        <f aca="false">IF(I66="","",I66*Ksat_Lookup!$B$6)</f>
        <v>0.000534789349863901</v>
      </c>
      <c r="K66" s="4"/>
      <c r="L66" s="6"/>
    </row>
    <row r="67" customFormat="false" ht="15" hidden="false" customHeight="false" outlineLevel="0" collapsed="false">
      <c r="A67" s="3" t="n">
        <v>66</v>
      </c>
      <c r="B67" s="3" t="s">
        <v>119</v>
      </c>
      <c r="C67" s="3" t="s">
        <v>13</v>
      </c>
      <c r="D67" s="3" t="s">
        <v>63</v>
      </c>
      <c r="E67" s="3" t="s">
        <v>64</v>
      </c>
      <c r="F67" s="4" t="s">
        <v>15</v>
      </c>
      <c r="G67" s="4" t="s">
        <v>15</v>
      </c>
      <c r="H67" s="5" t="n">
        <f aca="false">IFERROR(INDEX(Ksat_Lookup!$B$9:$B$18,MATCH(F67,Ksat_Lookup!$A$9:$A$18,0)),"")</f>
        <v>-12.5</v>
      </c>
      <c r="I67" s="6" t="n">
        <f aca="false">IF(H67="","",10^H67*Ksat_Lookup!$B$5)</f>
        <v>3.10219438462518E-006</v>
      </c>
      <c r="J67" s="6" t="n">
        <f aca="false">IF(I67="","",I67*Ksat_Lookup!$B$6)</f>
        <v>0.268029594831616</v>
      </c>
      <c r="K67" s="4"/>
      <c r="L67" s="6"/>
    </row>
    <row r="68" customFormat="false" ht="15" hidden="false" customHeight="false" outlineLevel="0" collapsed="false">
      <c r="A68" s="3" t="n">
        <v>67</v>
      </c>
      <c r="B68" s="3" t="s">
        <v>120</v>
      </c>
      <c r="C68" s="3" t="s">
        <v>19</v>
      </c>
      <c r="D68" s="3" t="s">
        <v>28</v>
      </c>
      <c r="E68" s="3" t="s">
        <v>66</v>
      </c>
      <c r="F68" s="4" t="s">
        <v>22</v>
      </c>
      <c r="G68" s="4" t="s">
        <v>23</v>
      </c>
      <c r="H68" s="5" t="n">
        <f aca="false">IFERROR(INDEX(Ksat_Lookup!$B$9:$B$18,MATCH(F68,Ksat_Lookup!$A$9:$A$18,0)),"")</f>
        <v>-15.2</v>
      </c>
      <c r="I68" s="6" t="n">
        <f aca="false">IF(H68="","",10^H68*Ksat_Lookup!$B$5)</f>
        <v>6.18969154935071E-009</v>
      </c>
      <c r="J68" s="6" t="n">
        <f aca="false">IF(I68="","",I68*Ksat_Lookup!$B$6)</f>
        <v>0.000534789349863901</v>
      </c>
      <c r="K68" s="4"/>
      <c r="L68" s="6"/>
    </row>
    <row r="69" customFormat="false" ht="15" hidden="false" customHeight="false" outlineLevel="0" collapsed="false">
      <c r="A69" s="3" t="n">
        <v>68</v>
      </c>
      <c r="B69" s="3" t="s">
        <v>121</v>
      </c>
      <c r="C69" s="3" t="s">
        <v>13</v>
      </c>
      <c r="D69" s="3" t="s">
        <v>37</v>
      </c>
      <c r="E69" s="3" t="s">
        <v>37</v>
      </c>
      <c r="F69" s="4" t="s">
        <v>15</v>
      </c>
      <c r="G69" s="4" t="s">
        <v>15</v>
      </c>
      <c r="H69" s="5" t="n">
        <f aca="false">IFERROR(INDEX(Ksat_Lookup!$B$9:$B$18,MATCH(F69,Ksat_Lookup!$A$9:$A$18,0)),"")</f>
        <v>-12.5</v>
      </c>
      <c r="I69" s="6" t="n">
        <f aca="false">IF(H69="","",10^H69*Ksat_Lookup!$B$5)</f>
        <v>3.10219438462518E-006</v>
      </c>
      <c r="J69" s="6" t="n">
        <f aca="false">IF(I69="","",I69*Ksat_Lookup!$B$6)</f>
        <v>0.268029594831616</v>
      </c>
      <c r="K69" s="4"/>
      <c r="L69" s="6"/>
    </row>
    <row r="70" customFormat="false" ht="15" hidden="false" customHeight="false" outlineLevel="0" collapsed="false">
      <c r="A70" s="3" t="n">
        <v>69</v>
      </c>
      <c r="B70" s="3" t="s">
        <v>122</v>
      </c>
      <c r="C70" s="3" t="s">
        <v>19</v>
      </c>
      <c r="D70" s="3" t="s">
        <v>63</v>
      </c>
      <c r="E70" s="3" t="s">
        <v>64</v>
      </c>
      <c r="F70" s="4" t="s">
        <v>22</v>
      </c>
      <c r="G70" s="4" t="s">
        <v>23</v>
      </c>
      <c r="H70" s="5" t="n">
        <f aca="false">IFERROR(INDEX(Ksat_Lookup!$B$9:$B$18,MATCH(F70,Ksat_Lookup!$A$9:$A$18,0)),"")</f>
        <v>-15.2</v>
      </c>
      <c r="I70" s="6" t="n">
        <f aca="false">IF(H70="","",10^H70*Ksat_Lookup!$B$5)</f>
        <v>6.18969154935071E-009</v>
      </c>
      <c r="J70" s="6" t="n">
        <f aca="false">IF(I70="","",I70*Ksat_Lookup!$B$6)</f>
        <v>0.000534789349863901</v>
      </c>
      <c r="K70" s="4"/>
      <c r="L70" s="6"/>
    </row>
    <row r="71" customFormat="false" ht="15" hidden="false" customHeight="false" outlineLevel="0" collapsed="false">
      <c r="A71" s="3" t="n">
        <v>70</v>
      </c>
      <c r="B71" s="3" t="s">
        <v>123</v>
      </c>
      <c r="C71" s="3" t="s">
        <v>19</v>
      </c>
      <c r="D71" s="3" t="s">
        <v>14</v>
      </c>
      <c r="E71" s="3" t="s">
        <v>14</v>
      </c>
      <c r="F71" s="4" t="s">
        <v>25</v>
      </c>
      <c r="G71" s="4" t="s">
        <v>26</v>
      </c>
      <c r="H71" s="5" t="n">
        <f aca="false">IFERROR(INDEX(Ksat_Lookup!$B$9:$B$18,MATCH(F71,Ksat_Lookup!$A$9:$A$18,0)),"")</f>
        <v>-13</v>
      </c>
      <c r="I71" s="6" t="n">
        <f aca="false">IF(H71="","",10^H71*Ksat_Lookup!$B$5)</f>
        <v>9.81E-007</v>
      </c>
      <c r="J71" s="6" t="n">
        <f aca="false">IF(I71="","",I71*Ksat_Lookup!$B$6)</f>
        <v>0.0847584</v>
      </c>
      <c r="K71" s="4"/>
      <c r="L71" s="6"/>
    </row>
    <row r="72" customFormat="false" ht="15" hidden="false" customHeight="false" outlineLevel="0" collapsed="false">
      <c r="A72" s="3" t="n">
        <v>71</v>
      </c>
      <c r="B72" s="3" t="s">
        <v>124</v>
      </c>
      <c r="C72" s="3" t="s">
        <v>13</v>
      </c>
      <c r="D72" s="3" t="s">
        <v>43</v>
      </c>
      <c r="E72" s="3" t="s">
        <v>43</v>
      </c>
      <c r="F72" s="4" t="s">
        <v>15</v>
      </c>
      <c r="G72" s="4" t="s">
        <v>15</v>
      </c>
      <c r="H72" s="5" t="n">
        <f aca="false">IFERROR(INDEX(Ksat_Lookup!$B$9:$B$18,MATCH(F72,Ksat_Lookup!$A$9:$A$18,0)),"")</f>
        <v>-12.5</v>
      </c>
      <c r="I72" s="6" t="n">
        <f aca="false">IF(H72="","",10^H72*Ksat_Lookup!$B$5)</f>
        <v>3.10219438462518E-006</v>
      </c>
      <c r="J72" s="6" t="n">
        <f aca="false">IF(I72="","",I72*Ksat_Lookup!$B$6)</f>
        <v>0.268029594831616</v>
      </c>
      <c r="K72" s="4"/>
      <c r="L72" s="6"/>
    </row>
    <row r="73" customFormat="false" ht="15" hidden="false" customHeight="false" outlineLevel="0" collapsed="false">
      <c r="A73" s="3" t="n">
        <v>72</v>
      </c>
      <c r="B73" s="3" t="s">
        <v>125</v>
      </c>
      <c r="C73" s="3" t="s">
        <v>13</v>
      </c>
      <c r="D73" s="3" t="s">
        <v>43</v>
      </c>
      <c r="E73" s="3" t="s">
        <v>43</v>
      </c>
      <c r="F73" s="4" t="s">
        <v>34</v>
      </c>
      <c r="G73" s="4" t="s">
        <v>35</v>
      </c>
      <c r="H73" s="5" t="n">
        <f aca="false">IFERROR(INDEX(Ksat_Lookup!$B$9:$B$18,MATCH(F73,Ksat_Lookup!$A$9:$A$18,0)),"")</f>
        <v>-13.85</v>
      </c>
      <c r="I73" s="6" t="n">
        <f aca="false">IF(H73="","",10^H73*Ksat_Lookup!$B$5)</f>
        <v>1.38569933127492E-007</v>
      </c>
      <c r="J73" s="6" t="n">
        <f aca="false">IF(I73="","",I73*Ksat_Lookup!$B$6)</f>
        <v>0.0119724422222153</v>
      </c>
      <c r="K73" s="4"/>
      <c r="L73" s="6"/>
    </row>
    <row r="74" customFormat="false" ht="15" hidden="false" customHeight="false" outlineLevel="0" collapsed="false">
      <c r="A74" s="3" t="n">
        <v>73</v>
      </c>
      <c r="B74" s="3" t="s">
        <v>126</v>
      </c>
      <c r="C74" s="3" t="s">
        <v>13</v>
      </c>
      <c r="D74" s="3" t="s">
        <v>63</v>
      </c>
      <c r="E74" s="3" t="s">
        <v>63</v>
      </c>
      <c r="F74" s="4" t="s">
        <v>15</v>
      </c>
      <c r="G74" s="4" t="s">
        <v>15</v>
      </c>
      <c r="H74" s="5" t="n">
        <f aca="false">IFERROR(INDEX(Ksat_Lookup!$B$9:$B$18,MATCH(F74,Ksat_Lookup!$A$9:$A$18,0)),"")</f>
        <v>-12.5</v>
      </c>
      <c r="I74" s="6" t="n">
        <f aca="false">IF(H74="","",10^H74*Ksat_Lookup!$B$5)</f>
        <v>3.10219438462518E-006</v>
      </c>
      <c r="J74" s="6" t="n">
        <f aca="false">IF(I74="","",I74*Ksat_Lookup!$B$6)</f>
        <v>0.268029594831616</v>
      </c>
      <c r="K74" s="4"/>
      <c r="L74" s="6"/>
    </row>
    <row r="75" customFormat="false" ht="15" hidden="false" customHeight="false" outlineLevel="0" collapsed="false">
      <c r="A75" s="3" t="n">
        <v>74</v>
      </c>
      <c r="B75" s="3" t="s">
        <v>127</v>
      </c>
      <c r="C75" s="3" t="s">
        <v>13</v>
      </c>
      <c r="D75" s="3" t="s">
        <v>87</v>
      </c>
      <c r="E75" s="3" t="s">
        <v>87</v>
      </c>
      <c r="F75" s="4" t="s">
        <v>15</v>
      </c>
      <c r="G75" s="4" t="s">
        <v>15</v>
      </c>
      <c r="H75" s="5" t="n">
        <f aca="false">IFERROR(INDEX(Ksat_Lookup!$B$9:$B$18,MATCH(F75,Ksat_Lookup!$A$9:$A$18,0)),"")</f>
        <v>-12.5</v>
      </c>
      <c r="I75" s="6" t="n">
        <f aca="false">IF(H75="","",10^H75*Ksat_Lookup!$B$5)</f>
        <v>3.10219438462518E-006</v>
      </c>
      <c r="J75" s="6" t="n">
        <f aca="false">IF(I75="","",I75*Ksat_Lookup!$B$6)</f>
        <v>0.268029594831616</v>
      </c>
      <c r="K75" s="4"/>
      <c r="L75" s="6"/>
    </row>
    <row r="76" customFormat="false" ht="15" hidden="false" customHeight="false" outlineLevel="0" collapsed="false">
      <c r="A76" s="3" t="n">
        <v>75</v>
      </c>
      <c r="B76" s="3" t="s">
        <v>128</v>
      </c>
      <c r="C76" s="3" t="s">
        <v>13</v>
      </c>
      <c r="D76" s="3" t="s">
        <v>14</v>
      </c>
      <c r="E76" s="3" t="s">
        <v>14</v>
      </c>
      <c r="F76" s="4" t="s">
        <v>15</v>
      </c>
      <c r="G76" s="4" t="s">
        <v>15</v>
      </c>
      <c r="H76" s="5" t="n">
        <f aca="false">IFERROR(INDEX(Ksat_Lookup!$B$9:$B$18,MATCH(F76,Ksat_Lookup!$A$9:$A$18,0)),"")</f>
        <v>-12.5</v>
      </c>
      <c r="I76" s="6" t="n">
        <f aca="false">IF(H76="","",10^H76*Ksat_Lookup!$B$5)</f>
        <v>3.10219438462518E-006</v>
      </c>
      <c r="J76" s="6" t="n">
        <f aca="false">IF(I76="","",I76*Ksat_Lookup!$B$6)</f>
        <v>0.268029594831616</v>
      </c>
      <c r="K76" s="4"/>
      <c r="L76" s="6"/>
    </row>
    <row r="77" customFormat="false" ht="15" hidden="false" customHeight="false" outlineLevel="0" collapsed="false">
      <c r="A77" s="3" t="n">
        <v>76</v>
      </c>
      <c r="B77" s="3" t="s">
        <v>129</v>
      </c>
      <c r="C77" s="3" t="s">
        <v>13</v>
      </c>
      <c r="D77" s="3" t="s">
        <v>41</v>
      </c>
      <c r="E77" s="3" t="s">
        <v>20</v>
      </c>
      <c r="F77" s="4" t="s">
        <v>15</v>
      </c>
      <c r="G77" s="4" t="s">
        <v>15</v>
      </c>
      <c r="H77" s="5" t="n">
        <f aca="false">IFERROR(INDEX(Ksat_Lookup!$B$9:$B$18,MATCH(F77,Ksat_Lookup!$A$9:$A$18,0)),"")</f>
        <v>-12.5</v>
      </c>
      <c r="I77" s="6" t="n">
        <f aca="false">IF(H77="","",10^H77*Ksat_Lookup!$B$5)</f>
        <v>3.10219438462518E-006</v>
      </c>
      <c r="J77" s="6" t="n">
        <f aca="false">IF(I77="","",I77*Ksat_Lookup!$B$6)</f>
        <v>0.268029594831616</v>
      </c>
      <c r="K77" s="4"/>
      <c r="L77" s="6"/>
    </row>
    <row r="78" customFormat="false" ht="15" hidden="false" customHeight="false" outlineLevel="0" collapsed="false">
      <c r="A78" s="3" t="n">
        <v>77</v>
      </c>
      <c r="B78" s="3" t="s">
        <v>130</v>
      </c>
      <c r="C78" s="3" t="s">
        <v>13</v>
      </c>
      <c r="D78" s="3" t="s">
        <v>14</v>
      </c>
      <c r="E78" s="3" t="s">
        <v>14</v>
      </c>
      <c r="F78" s="4" t="s">
        <v>15</v>
      </c>
      <c r="G78" s="4" t="s">
        <v>15</v>
      </c>
      <c r="H78" s="5" t="n">
        <f aca="false">IFERROR(INDEX(Ksat_Lookup!$B$9:$B$18,MATCH(F78,Ksat_Lookup!$A$9:$A$18,0)),"")</f>
        <v>-12.5</v>
      </c>
      <c r="I78" s="6" t="n">
        <f aca="false">IF(H78="","",10^H78*Ksat_Lookup!$B$5)</f>
        <v>3.10219438462518E-006</v>
      </c>
      <c r="J78" s="6" t="n">
        <f aca="false">IF(I78="","",I78*Ksat_Lookup!$B$6)</f>
        <v>0.268029594831616</v>
      </c>
      <c r="K78" s="4"/>
      <c r="L78" s="6"/>
    </row>
    <row r="79" customFormat="false" ht="15" hidden="false" customHeight="false" outlineLevel="0" collapsed="false">
      <c r="A79" s="3" t="n">
        <v>78</v>
      </c>
      <c r="B79" s="3" t="s">
        <v>131</v>
      </c>
      <c r="C79" s="3" t="s">
        <v>50</v>
      </c>
      <c r="D79" s="3" t="s">
        <v>21</v>
      </c>
      <c r="E79" s="3" t="s">
        <v>21</v>
      </c>
      <c r="F79" s="4" t="s">
        <v>51</v>
      </c>
      <c r="G79" s="4" t="s">
        <v>52</v>
      </c>
      <c r="H79" s="5" t="n">
        <f aca="false">IFERROR(INDEX(Ksat_Lookup!$B$9:$B$18,MATCH(F79,Ksat_Lookup!$A$9:$A$18,0)),"")</f>
        <v>-14.1</v>
      </c>
      <c r="I79" s="6" t="n">
        <f aca="false">IF(H79="","",10^H79*Ksat_Lookup!$B$5)</f>
        <v>7.79235998264521E-008</v>
      </c>
      <c r="J79" s="6" t="n">
        <f aca="false">IF(I79="","",I79*Ksat_Lookup!$B$6)</f>
        <v>0.00673259902500546</v>
      </c>
      <c r="K79" s="4"/>
      <c r="L79" s="6"/>
    </row>
    <row r="80" customFormat="false" ht="15" hidden="false" customHeight="false" outlineLevel="0" collapsed="false">
      <c r="A80" s="3" t="n">
        <v>79</v>
      </c>
      <c r="B80" s="3" t="s">
        <v>132</v>
      </c>
      <c r="C80" s="3" t="s">
        <v>13</v>
      </c>
      <c r="D80" s="3" t="s">
        <v>56</v>
      </c>
      <c r="E80" s="3" t="s">
        <v>56</v>
      </c>
      <c r="F80" s="4" t="s">
        <v>34</v>
      </c>
      <c r="G80" s="4" t="s">
        <v>35</v>
      </c>
      <c r="H80" s="5" t="n">
        <f aca="false">IFERROR(INDEX(Ksat_Lookup!$B$9:$B$18,MATCH(F80,Ksat_Lookup!$A$9:$A$18,0)),"")</f>
        <v>-13.85</v>
      </c>
      <c r="I80" s="6" t="n">
        <f aca="false">IF(H80="","",10^H80*Ksat_Lookup!$B$5)</f>
        <v>1.38569933127492E-007</v>
      </c>
      <c r="J80" s="6" t="n">
        <f aca="false">IF(I80="","",I80*Ksat_Lookup!$B$6)</f>
        <v>0.0119724422222153</v>
      </c>
      <c r="K80" s="4"/>
      <c r="L80" s="6"/>
    </row>
    <row r="81" customFormat="false" ht="15" hidden="false" customHeight="false" outlineLevel="0" collapsed="false">
      <c r="A81" s="3" t="n">
        <v>80</v>
      </c>
      <c r="B81" s="3" t="s">
        <v>133</v>
      </c>
      <c r="C81" s="3" t="s">
        <v>50</v>
      </c>
      <c r="D81" s="3" t="s">
        <v>106</v>
      </c>
      <c r="E81" s="3" t="s">
        <v>106</v>
      </c>
      <c r="F81" s="4" t="s">
        <v>51</v>
      </c>
      <c r="G81" s="4" t="s">
        <v>52</v>
      </c>
      <c r="H81" s="5" t="n">
        <f aca="false">IFERROR(INDEX(Ksat_Lookup!$B$9:$B$18,MATCH(F81,Ksat_Lookup!$A$9:$A$18,0)),"")</f>
        <v>-14.1</v>
      </c>
      <c r="I81" s="6" t="n">
        <f aca="false">IF(H81="","",10^H81*Ksat_Lookup!$B$5)</f>
        <v>7.79235998264521E-008</v>
      </c>
      <c r="J81" s="6" t="n">
        <f aca="false">IF(I81="","",I81*Ksat_Lookup!$B$6)</f>
        <v>0.00673259902500546</v>
      </c>
      <c r="K81" s="4"/>
      <c r="L81" s="6"/>
    </row>
    <row r="82" customFormat="false" ht="15" hidden="false" customHeight="false" outlineLevel="0" collapsed="false">
      <c r="A82" s="3" t="n">
        <v>81</v>
      </c>
      <c r="B82" s="3" t="s">
        <v>134</v>
      </c>
      <c r="C82" s="3" t="s">
        <v>13</v>
      </c>
      <c r="D82" s="3" t="s">
        <v>21</v>
      </c>
      <c r="E82" s="3" t="s">
        <v>28</v>
      </c>
      <c r="F82" s="4" t="s">
        <v>34</v>
      </c>
      <c r="G82" s="4" t="s">
        <v>35</v>
      </c>
      <c r="H82" s="5" t="n">
        <f aca="false">IFERROR(INDEX(Ksat_Lookup!$B$9:$B$18,MATCH(F82,Ksat_Lookup!$A$9:$A$18,0)),"")</f>
        <v>-13.85</v>
      </c>
      <c r="I82" s="6" t="n">
        <f aca="false">IF(H82="","",10^H82*Ksat_Lookup!$B$5)</f>
        <v>1.38569933127492E-007</v>
      </c>
      <c r="J82" s="6" t="n">
        <f aca="false">IF(I82="","",I82*Ksat_Lookup!$B$6)</f>
        <v>0.0119724422222153</v>
      </c>
      <c r="K82" s="4"/>
      <c r="L82" s="6"/>
    </row>
    <row r="83" customFormat="false" ht="15" hidden="false" customHeight="false" outlineLevel="0" collapsed="false">
      <c r="A83" s="3" t="n">
        <v>82</v>
      </c>
      <c r="B83" s="3" t="s">
        <v>135</v>
      </c>
      <c r="C83" s="3" t="s">
        <v>13</v>
      </c>
      <c r="D83" s="3" t="s">
        <v>41</v>
      </c>
      <c r="E83" s="3" t="s">
        <v>20</v>
      </c>
      <c r="F83" s="4" t="s">
        <v>34</v>
      </c>
      <c r="G83" s="4" t="s">
        <v>35</v>
      </c>
      <c r="H83" s="5" t="n">
        <f aca="false">IFERROR(INDEX(Ksat_Lookup!$B$9:$B$18,MATCH(F83,Ksat_Lookup!$A$9:$A$18,0)),"")</f>
        <v>-13.85</v>
      </c>
      <c r="I83" s="6" t="n">
        <f aca="false">IF(H83="","",10^H83*Ksat_Lookup!$B$5)</f>
        <v>1.38569933127492E-007</v>
      </c>
      <c r="J83" s="6" t="n">
        <f aca="false">IF(I83="","",I83*Ksat_Lookup!$B$6)</f>
        <v>0.0119724422222153</v>
      </c>
      <c r="K83" s="4"/>
      <c r="L83" s="6"/>
    </row>
    <row r="84" customFormat="false" ht="15" hidden="false" customHeight="false" outlineLevel="0" collapsed="false">
      <c r="A84" s="3" t="n">
        <v>83</v>
      </c>
      <c r="B84" s="3" t="s">
        <v>136</v>
      </c>
      <c r="C84" s="3" t="s">
        <v>19</v>
      </c>
      <c r="D84" s="3" t="s">
        <v>41</v>
      </c>
      <c r="E84" s="3" t="s">
        <v>137</v>
      </c>
      <c r="F84" s="4" t="s">
        <v>22</v>
      </c>
      <c r="G84" s="4" t="s">
        <v>23</v>
      </c>
      <c r="H84" s="5" t="n">
        <f aca="false">IFERROR(INDEX(Ksat_Lookup!$B$9:$B$18,MATCH(F84,Ksat_Lookup!$A$9:$A$18,0)),"")</f>
        <v>-15.2</v>
      </c>
      <c r="I84" s="6" t="n">
        <f aca="false">IF(H84="","",10^H84*Ksat_Lookup!$B$5)</f>
        <v>6.18969154935071E-009</v>
      </c>
      <c r="J84" s="6" t="n">
        <f aca="false">IF(I84="","",I84*Ksat_Lookup!$B$6)</f>
        <v>0.000534789349863901</v>
      </c>
      <c r="K84" s="4"/>
      <c r="L84" s="6"/>
    </row>
    <row r="85" customFormat="false" ht="15" hidden="false" customHeight="false" outlineLevel="0" collapsed="false">
      <c r="A85" s="3" t="n">
        <v>84</v>
      </c>
      <c r="B85" s="3" t="s">
        <v>138</v>
      </c>
      <c r="C85" s="3" t="s">
        <v>13</v>
      </c>
      <c r="D85" s="3" t="s">
        <v>63</v>
      </c>
      <c r="E85" s="3" t="s">
        <v>64</v>
      </c>
      <c r="F85" s="4" t="s">
        <v>15</v>
      </c>
      <c r="G85" s="4" t="s">
        <v>15</v>
      </c>
      <c r="H85" s="5" t="n">
        <f aca="false">IFERROR(INDEX(Ksat_Lookup!$B$9:$B$18,MATCH(F85,Ksat_Lookup!$A$9:$A$18,0)),"")</f>
        <v>-12.5</v>
      </c>
      <c r="I85" s="6" t="n">
        <f aca="false">IF(H85="","",10^H85*Ksat_Lookup!$B$5)</f>
        <v>3.10219438462518E-006</v>
      </c>
      <c r="J85" s="6" t="n">
        <f aca="false">IF(I85="","",I85*Ksat_Lookup!$B$6)</f>
        <v>0.268029594831616</v>
      </c>
      <c r="K85" s="4"/>
      <c r="L85" s="6"/>
    </row>
    <row r="86" customFormat="false" ht="15" hidden="false" customHeight="false" outlineLevel="0" collapsed="false">
      <c r="A86" s="3" t="n">
        <v>85</v>
      </c>
      <c r="B86" s="3" t="s">
        <v>139</v>
      </c>
      <c r="C86" s="3" t="s">
        <v>13</v>
      </c>
      <c r="D86" s="3" t="s">
        <v>14</v>
      </c>
      <c r="E86" s="3" t="s">
        <v>14</v>
      </c>
      <c r="F86" s="4" t="s">
        <v>15</v>
      </c>
      <c r="G86" s="4" t="s">
        <v>15</v>
      </c>
      <c r="H86" s="5" t="n">
        <f aca="false">IFERROR(INDEX(Ksat_Lookup!$B$9:$B$18,MATCH(F86,Ksat_Lookup!$A$9:$A$18,0)),"")</f>
        <v>-12.5</v>
      </c>
      <c r="I86" s="6" t="n">
        <f aca="false">IF(H86="","",10^H86*Ksat_Lookup!$B$5)</f>
        <v>3.10219438462518E-006</v>
      </c>
      <c r="J86" s="6" t="n">
        <f aca="false">IF(I86="","",I86*Ksat_Lookup!$B$6)</f>
        <v>0.268029594831616</v>
      </c>
      <c r="K86" s="4"/>
      <c r="L86" s="6"/>
    </row>
    <row r="87" customFormat="false" ht="15" hidden="false" customHeight="false" outlineLevel="0" collapsed="false">
      <c r="A87" s="3" t="n">
        <v>86</v>
      </c>
      <c r="B87" s="3" t="s">
        <v>140</v>
      </c>
      <c r="C87" s="3" t="s">
        <v>50</v>
      </c>
      <c r="D87" s="3" t="s">
        <v>43</v>
      </c>
      <c r="E87" s="3" t="s">
        <v>43</v>
      </c>
      <c r="F87" s="4" t="s">
        <v>51</v>
      </c>
      <c r="G87" s="4" t="s">
        <v>52</v>
      </c>
      <c r="H87" s="5" t="n">
        <f aca="false">IFERROR(INDEX(Ksat_Lookup!$B$9:$B$18,MATCH(F87,Ksat_Lookup!$A$9:$A$18,0)),"")</f>
        <v>-14.1</v>
      </c>
      <c r="I87" s="6" t="n">
        <f aca="false">IF(H87="","",10^H87*Ksat_Lookup!$B$5)</f>
        <v>7.79235998264521E-008</v>
      </c>
      <c r="J87" s="6" t="n">
        <f aca="false">IF(I87="","",I87*Ksat_Lookup!$B$6)</f>
        <v>0.00673259902500546</v>
      </c>
      <c r="K87" s="4"/>
      <c r="L87" s="6"/>
    </row>
    <row r="88" customFormat="false" ht="15" hidden="false" customHeight="false" outlineLevel="0" collapsed="false">
      <c r="A88" s="3" t="n">
        <v>87</v>
      </c>
      <c r="B88" s="3" t="s">
        <v>141</v>
      </c>
      <c r="C88" s="3" t="s">
        <v>19</v>
      </c>
      <c r="D88" s="3" t="s">
        <v>56</v>
      </c>
      <c r="E88" s="3" t="s">
        <v>29</v>
      </c>
      <c r="F88" s="4" t="s">
        <v>22</v>
      </c>
      <c r="G88" s="4" t="s">
        <v>23</v>
      </c>
      <c r="H88" s="5" t="n">
        <f aca="false">IFERROR(INDEX(Ksat_Lookup!$B$9:$B$18,MATCH(F88,Ksat_Lookup!$A$9:$A$18,0)),"")</f>
        <v>-15.2</v>
      </c>
      <c r="I88" s="6" t="n">
        <f aca="false">IF(H88="","",10^H88*Ksat_Lookup!$B$5)</f>
        <v>6.18969154935071E-009</v>
      </c>
      <c r="J88" s="6" t="n">
        <f aca="false">IF(I88="","",I88*Ksat_Lookup!$B$6)</f>
        <v>0.000534789349863901</v>
      </c>
      <c r="K88" s="4"/>
      <c r="L88" s="6"/>
    </row>
    <row r="89" customFormat="false" ht="15" hidden="false" customHeight="false" outlineLevel="0" collapsed="false">
      <c r="A89" s="3" t="n">
        <v>88</v>
      </c>
      <c r="B89" s="3" t="s">
        <v>142</v>
      </c>
      <c r="C89" s="3" t="s">
        <v>13</v>
      </c>
      <c r="D89" s="3" t="s">
        <v>54</v>
      </c>
      <c r="E89" s="3" t="s">
        <v>54</v>
      </c>
      <c r="F89" s="4" t="s">
        <v>15</v>
      </c>
      <c r="G89" s="4" t="s">
        <v>15</v>
      </c>
      <c r="H89" s="5" t="n">
        <f aca="false">IFERROR(INDEX(Ksat_Lookup!$B$9:$B$18,MATCH(F89,Ksat_Lookup!$A$9:$A$18,0)),"")</f>
        <v>-12.5</v>
      </c>
      <c r="I89" s="6" t="n">
        <f aca="false">IF(H89="","",10^H89*Ksat_Lookup!$B$5)</f>
        <v>3.10219438462518E-006</v>
      </c>
      <c r="J89" s="6" t="n">
        <f aca="false">IF(I89="","",I89*Ksat_Lookup!$B$6)</f>
        <v>0.268029594831616</v>
      </c>
      <c r="K89" s="4"/>
      <c r="L89" s="6"/>
    </row>
    <row r="90" customFormat="false" ht="15" hidden="false" customHeight="false" outlineLevel="0" collapsed="false">
      <c r="A90" s="3" t="n">
        <v>89</v>
      </c>
      <c r="B90" s="3" t="s">
        <v>143</v>
      </c>
      <c r="C90" s="3" t="s">
        <v>13</v>
      </c>
      <c r="D90" s="3" t="s">
        <v>54</v>
      </c>
      <c r="E90" s="3" t="s">
        <v>54</v>
      </c>
      <c r="F90" s="4" t="s">
        <v>34</v>
      </c>
      <c r="G90" s="4" t="s">
        <v>35</v>
      </c>
      <c r="H90" s="5" t="n">
        <f aca="false">IFERROR(INDEX(Ksat_Lookup!$B$9:$B$18,MATCH(F90,Ksat_Lookup!$A$9:$A$18,0)),"")</f>
        <v>-13.85</v>
      </c>
      <c r="I90" s="6" t="n">
        <f aca="false">IF(H90="","",10^H90*Ksat_Lookup!$B$5)</f>
        <v>1.38569933127492E-007</v>
      </c>
      <c r="J90" s="6" t="n">
        <f aca="false">IF(I90="","",I90*Ksat_Lookup!$B$6)</f>
        <v>0.0119724422222153</v>
      </c>
      <c r="K90" s="4"/>
      <c r="L90" s="6"/>
    </row>
    <row r="91" customFormat="false" ht="15" hidden="false" customHeight="false" outlineLevel="0" collapsed="false">
      <c r="A91" s="3" t="n">
        <v>90</v>
      </c>
      <c r="B91" s="3" t="s">
        <v>144</v>
      </c>
      <c r="C91" s="3" t="s">
        <v>19</v>
      </c>
      <c r="D91" s="3" t="s">
        <v>74</v>
      </c>
      <c r="E91" s="3" t="s">
        <v>145</v>
      </c>
      <c r="F91" s="4" t="s">
        <v>22</v>
      </c>
      <c r="G91" s="4" t="s">
        <v>23</v>
      </c>
      <c r="H91" s="5" t="n">
        <f aca="false">IFERROR(INDEX(Ksat_Lookup!$B$9:$B$18,MATCH(F91,Ksat_Lookup!$A$9:$A$18,0)),"")</f>
        <v>-15.2</v>
      </c>
      <c r="I91" s="6" t="n">
        <f aca="false">IF(H91="","",10^H91*Ksat_Lookup!$B$5)</f>
        <v>6.18969154935071E-009</v>
      </c>
      <c r="J91" s="6" t="n">
        <f aca="false">IF(I91="","",I91*Ksat_Lookup!$B$6)</f>
        <v>0.000534789349863901</v>
      </c>
      <c r="K91" s="4"/>
      <c r="L91" s="6"/>
    </row>
    <row r="92" customFormat="false" ht="15" hidden="false" customHeight="false" outlineLevel="0" collapsed="false">
      <c r="A92" s="3" t="n">
        <v>91</v>
      </c>
      <c r="B92" s="3" t="s">
        <v>146</v>
      </c>
      <c r="C92" s="3" t="s">
        <v>50</v>
      </c>
      <c r="D92" s="3" t="s">
        <v>43</v>
      </c>
      <c r="E92" s="3" t="s">
        <v>43</v>
      </c>
      <c r="F92" s="4" t="s">
        <v>51</v>
      </c>
      <c r="G92" s="4" t="s">
        <v>52</v>
      </c>
      <c r="H92" s="5" t="n">
        <f aca="false">IFERROR(INDEX(Ksat_Lookup!$B$9:$B$18,MATCH(F92,Ksat_Lookup!$A$9:$A$18,0)),"")</f>
        <v>-14.1</v>
      </c>
      <c r="I92" s="6" t="n">
        <f aca="false">IF(H92="","",10^H92*Ksat_Lookup!$B$5)</f>
        <v>7.79235998264521E-008</v>
      </c>
      <c r="J92" s="6" t="n">
        <f aca="false">IF(I92="","",I92*Ksat_Lookup!$B$6)</f>
        <v>0.00673259902500546</v>
      </c>
      <c r="K92" s="4"/>
      <c r="L92" s="6"/>
    </row>
    <row r="93" customFormat="false" ht="15" hidden="false" customHeight="false" outlineLevel="0" collapsed="false">
      <c r="A93" s="3" t="n">
        <v>92</v>
      </c>
      <c r="B93" s="3" t="s">
        <v>147</v>
      </c>
      <c r="C93" s="3" t="s">
        <v>50</v>
      </c>
      <c r="D93" s="3" t="s">
        <v>41</v>
      </c>
      <c r="E93" s="3" t="s">
        <v>41</v>
      </c>
      <c r="F93" s="4" t="s">
        <v>51</v>
      </c>
      <c r="G93" s="4" t="s">
        <v>52</v>
      </c>
      <c r="H93" s="5" t="n">
        <f aca="false">IFERROR(INDEX(Ksat_Lookup!$B$9:$B$18,MATCH(F93,Ksat_Lookup!$A$9:$A$18,0)),"")</f>
        <v>-14.1</v>
      </c>
      <c r="I93" s="6" t="n">
        <f aca="false">IF(H93="","",10^H93*Ksat_Lookup!$B$5)</f>
        <v>7.79235998264521E-008</v>
      </c>
      <c r="J93" s="6" t="n">
        <f aca="false">IF(I93="","",I93*Ksat_Lookup!$B$6)</f>
        <v>0.00673259902500546</v>
      </c>
      <c r="K93" s="4"/>
      <c r="L93" s="6"/>
    </row>
    <row r="94" customFormat="false" ht="15" hidden="false" customHeight="false" outlineLevel="0" collapsed="false">
      <c r="A94" s="3" t="n">
        <v>93</v>
      </c>
      <c r="B94" s="3" t="s">
        <v>148</v>
      </c>
      <c r="C94" s="3" t="s">
        <v>50</v>
      </c>
      <c r="D94" s="3" t="s">
        <v>149</v>
      </c>
      <c r="E94" s="3" t="s">
        <v>149</v>
      </c>
      <c r="F94" s="4" t="s">
        <v>51</v>
      </c>
      <c r="G94" s="4" t="s">
        <v>52</v>
      </c>
      <c r="H94" s="5" t="n">
        <f aca="false">IFERROR(INDEX(Ksat_Lookup!$B$9:$B$18,MATCH(F94,Ksat_Lookup!$A$9:$A$18,0)),"")</f>
        <v>-14.1</v>
      </c>
      <c r="I94" s="6" t="n">
        <f aca="false">IF(H94="","",10^H94*Ksat_Lookup!$B$5)</f>
        <v>7.79235998264521E-008</v>
      </c>
      <c r="J94" s="6" t="n">
        <f aca="false">IF(I94="","",I94*Ksat_Lookup!$B$6)</f>
        <v>0.00673259902500546</v>
      </c>
      <c r="K94" s="4"/>
      <c r="L94" s="6"/>
    </row>
    <row r="95" customFormat="false" ht="15" hidden="false" customHeight="false" outlineLevel="0" collapsed="false">
      <c r="A95" s="3" t="n">
        <v>94</v>
      </c>
      <c r="B95" s="3" t="s">
        <v>150</v>
      </c>
      <c r="C95" s="3" t="s">
        <v>151</v>
      </c>
      <c r="D95" s="3" t="s">
        <v>152</v>
      </c>
      <c r="E95" s="3" t="s">
        <v>152</v>
      </c>
      <c r="F95" s="4" t="s">
        <v>51</v>
      </c>
      <c r="G95" s="4" t="s">
        <v>153</v>
      </c>
      <c r="H95" s="5" t="n">
        <f aca="false">IFERROR(INDEX(Ksat_Lookup!$B$9:$B$18,MATCH(F95,Ksat_Lookup!$A$9:$A$18,0)),"")</f>
        <v>-14.1</v>
      </c>
      <c r="I95" s="6" t="n">
        <f aca="false">IF(H95="","",10^H95*Ksat_Lookup!$B$5)</f>
        <v>7.79235998264521E-008</v>
      </c>
      <c r="J95" s="6" t="n">
        <f aca="false">IF(I95="","",I95*Ksat_Lookup!$B$6)</f>
        <v>0.00673259902500546</v>
      </c>
      <c r="K95" s="4"/>
      <c r="L95" s="6"/>
    </row>
    <row r="96" customFormat="false" ht="15" hidden="false" customHeight="false" outlineLevel="0" collapsed="false">
      <c r="A96" s="3" t="n">
        <v>95</v>
      </c>
      <c r="B96" s="3" t="s">
        <v>154</v>
      </c>
      <c r="C96" s="3" t="s">
        <v>13</v>
      </c>
      <c r="D96" s="3" t="s">
        <v>39</v>
      </c>
      <c r="E96" s="3" t="s">
        <v>41</v>
      </c>
      <c r="F96" s="4" t="s">
        <v>15</v>
      </c>
      <c r="G96" s="4" t="s">
        <v>15</v>
      </c>
      <c r="H96" s="5" t="n">
        <f aca="false">IFERROR(INDEX(Ksat_Lookup!$B$9:$B$18,MATCH(F96,Ksat_Lookup!$A$9:$A$18,0)),"")</f>
        <v>-12.5</v>
      </c>
      <c r="I96" s="6" t="n">
        <f aca="false">IF(H96="","",10^H96*Ksat_Lookup!$B$5)</f>
        <v>3.10219438462518E-006</v>
      </c>
      <c r="J96" s="6" t="n">
        <f aca="false">IF(I96="","",I96*Ksat_Lookup!$B$6)</f>
        <v>0.268029594831616</v>
      </c>
      <c r="K96" s="4"/>
      <c r="L96" s="6"/>
    </row>
    <row r="97" customFormat="false" ht="15" hidden="false" customHeight="false" outlineLevel="0" collapsed="false">
      <c r="A97" s="3" t="n">
        <v>96</v>
      </c>
      <c r="B97" s="3" t="s">
        <v>155</v>
      </c>
      <c r="C97" s="3" t="s">
        <v>50</v>
      </c>
      <c r="D97" s="3" t="s">
        <v>41</v>
      </c>
      <c r="E97" s="3" t="s">
        <v>41</v>
      </c>
      <c r="F97" s="4" t="s">
        <v>51</v>
      </c>
      <c r="G97" s="4" t="s">
        <v>52</v>
      </c>
      <c r="H97" s="5" t="n">
        <f aca="false">IFERROR(INDEX(Ksat_Lookup!$B$9:$B$18,MATCH(F97,Ksat_Lookup!$A$9:$A$18,0)),"")</f>
        <v>-14.1</v>
      </c>
      <c r="I97" s="6" t="n">
        <f aca="false">IF(H97="","",10^H97*Ksat_Lookup!$B$5)</f>
        <v>7.79235998264521E-008</v>
      </c>
      <c r="J97" s="6" t="n">
        <f aca="false">IF(I97="","",I97*Ksat_Lookup!$B$6)</f>
        <v>0.00673259902500546</v>
      </c>
      <c r="K97" s="4"/>
      <c r="L97" s="6"/>
    </row>
    <row r="98" customFormat="false" ht="15" hidden="false" customHeight="false" outlineLevel="0" collapsed="false">
      <c r="A98" s="3" t="n">
        <v>97</v>
      </c>
      <c r="B98" s="3" t="s">
        <v>156</v>
      </c>
      <c r="C98" s="3" t="s">
        <v>13</v>
      </c>
      <c r="D98" s="3" t="s">
        <v>63</v>
      </c>
      <c r="E98" s="3" t="s">
        <v>63</v>
      </c>
      <c r="F98" s="4" t="s">
        <v>15</v>
      </c>
      <c r="G98" s="4" t="s">
        <v>15</v>
      </c>
      <c r="H98" s="5" t="n">
        <f aca="false">IFERROR(INDEX(Ksat_Lookup!$B$9:$B$18,MATCH(F98,Ksat_Lookup!$A$9:$A$18,0)),"")</f>
        <v>-12.5</v>
      </c>
      <c r="I98" s="6" t="n">
        <f aca="false">IF(H98="","",10^H98*Ksat_Lookup!$B$5)</f>
        <v>3.10219438462518E-006</v>
      </c>
      <c r="J98" s="6" t="n">
        <f aca="false">IF(I98="","",I98*Ksat_Lookup!$B$6)</f>
        <v>0.268029594831616</v>
      </c>
      <c r="K98" s="4"/>
      <c r="L98" s="6"/>
    </row>
    <row r="99" customFormat="false" ht="15" hidden="false" customHeight="false" outlineLevel="0" collapsed="false">
      <c r="A99" s="3" t="n">
        <v>98</v>
      </c>
      <c r="B99" s="3" t="s">
        <v>157</v>
      </c>
      <c r="C99" s="3" t="s">
        <v>13</v>
      </c>
      <c r="D99" s="3" t="s">
        <v>41</v>
      </c>
      <c r="E99" s="3" t="s">
        <v>41</v>
      </c>
      <c r="F99" s="4" t="s">
        <v>34</v>
      </c>
      <c r="G99" s="4" t="s">
        <v>35</v>
      </c>
      <c r="H99" s="5" t="n">
        <f aca="false">IFERROR(INDEX(Ksat_Lookup!$B$9:$B$18,MATCH(F99,Ksat_Lookup!$A$9:$A$18,0)),"")</f>
        <v>-13.85</v>
      </c>
      <c r="I99" s="6" t="n">
        <f aca="false">IF(H99="","",10^H99*Ksat_Lookup!$B$5)</f>
        <v>1.38569933127492E-007</v>
      </c>
      <c r="J99" s="6" t="n">
        <f aca="false">IF(I99="","",I99*Ksat_Lookup!$B$6)</f>
        <v>0.0119724422222153</v>
      </c>
      <c r="K99" s="4"/>
      <c r="L99" s="6"/>
    </row>
    <row r="100" customFormat="false" ht="15" hidden="false" customHeight="false" outlineLevel="0" collapsed="false">
      <c r="A100" s="3" t="n">
        <v>99</v>
      </c>
      <c r="B100" s="3" t="s">
        <v>158</v>
      </c>
      <c r="C100" s="3" t="s">
        <v>13</v>
      </c>
      <c r="D100" s="3" t="s">
        <v>43</v>
      </c>
      <c r="E100" s="3" t="s">
        <v>43</v>
      </c>
      <c r="F100" s="4" t="s">
        <v>15</v>
      </c>
      <c r="G100" s="4" t="s">
        <v>15</v>
      </c>
      <c r="H100" s="5" t="n">
        <f aca="false">IFERROR(INDEX(Ksat_Lookup!$B$9:$B$18,MATCH(F100,Ksat_Lookup!$A$9:$A$18,0)),"")</f>
        <v>-12.5</v>
      </c>
      <c r="I100" s="6" t="n">
        <f aca="false">IF(H100="","",10^H100*Ksat_Lookup!$B$5)</f>
        <v>3.10219438462518E-006</v>
      </c>
      <c r="J100" s="6" t="n">
        <f aca="false">IF(I100="","",I100*Ksat_Lookup!$B$6)</f>
        <v>0.268029594831616</v>
      </c>
      <c r="K100" s="4"/>
      <c r="L100" s="6"/>
    </row>
    <row r="101" customFormat="false" ht="15" hidden="false" customHeight="false" outlineLevel="0" collapsed="false">
      <c r="A101" s="3" t="n">
        <v>100</v>
      </c>
      <c r="B101" s="3" t="s">
        <v>159</v>
      </c>
      <c r="C101" s="3" t="s">
        <v>13</v>
      </c>
      <c r="D101" s="3" t="s">
        <v>20</v>
      </c>
      <c r="E101" s="3" t="s">
        <v>20</v>
      </c>
      <c r="F101" s="4" t="s">
        <v>15</v>
      </c>
      <c r="G101" s="4" t="s">
        <v>15</v>
      </c>
      <c r="H101" s="5" t="n">
        <f aca="false">IFERROR(INDEX(Ksat_Lookup!$B$9:$B$18,MATCH(F101,Ksat_Lookup!$A$9:$A$18,0)),"")</f>
        <v>-12.5</v>
      </c>
      <c r="I101" s="6" t="n">
        <f aca="false">IF(H101="","",10^H101*Ksat_Lookup!$B$5)</f>
        <v>3.10219438462518E-006</v>
      </c>
      <c r="J101" s="6" t="n">
        <f aca="false">IF(I101="","",I101*Ksat_Lookup!$B$6)</f>
        <v>0.268029594831616</v>
      </c>
      <c r="K101" s="4"/>
      <c r="L101" s="6"/>
    </row>
    <row r="102" customFormat="false" ht="15" hidden="false" customHeight="false" outlineLevel="0" collapsed="false">
      <c r="A102" s="3" t="n">
        <v>101</v>
      </c>
      <c r="B102" s="3" t="s">
        <v>160</v>
      </c>
      <c r="C102" s="3" t="s">
        <v>50</v>
      </c>
      <c r="D102" s="3" t="s">
        <v>41</v>
      </c>
      <c r="E102" s="3" t="s">
        <v>41</v>
      </c>
      <c r="F102" s="4" t="s">
        <v>51</v>
      </c>
      <c r="G102" s="4" t="s">
        <v>52</v>
      </c>
      <c r="H102" s="5" t="n">
        <f aca="false">IFERROR(INDEX(Ksat_Lookup!$B$9:$B$18,MATCH(F102,Ksat_Lookup!$A$9:$A$18,0)),"")</f>
        <v>-14.1</v>
      </c>
      <c r="I102" s="6" t="n">
        <f aca="false">IF(H102="","",10^H102*Ksat_Lookup!$B$5)</f>
        <v>7.79235998264521E-008</v>
      </c>
      <c r="J102" s="6" t="n">
        <f aca="false">IF(I102="","",I102*Ksat_Lookup!$B$6)</f>
        <v>0.00673259902500546</v>
      </c>
      <c r="K102" s="4"/>
      <c r="L102" s="6"/>
    </row>
    <row r="103" customFormat="false" ht="15" hidden="false" customHeight="false" outlineLevel="0" collapsed="false">
      <c r="A103" s="3" t="n">
        <v>102</v>
      </c>
      <c r="B103" s="3" t="s">
        <v>161</v>
      </c>
      <c r="C103" s="3" t="s">
        <v>13</v>
      </c>
      <c r="D103" s="3" t="s">
        <v>31</v>
      </c>
      <c r="E103" s="3" t="s">
        <v>31</v>
      </c>
      <c r="F103" s="4" t="s">
        <v>34</v>
      </c>
      <c r="G103" s="4" t="s">
        <v>35</v>
      </c>
      <c r="H103" s="5" t="n">
        <f aca="false">IFERROR(INDEX(Ksat_Lookup!$B$9:$B$18,MATCH(F103,Ksat_Lookup!$A$9:$A$18,0)),"")</f>
        <v>-13.85</v>
      </c>
      <c r="I103" s="6" t="n">
        <f aca="false">IF(H103="","",10^H103*Ksat_Lookup!$B$5)</f>
        <v>1.38569933127492E-007</v>
      </c>
      <c r="J103" s="6" t="n">
        <f aca="false">IF(I103="","",I103*Ksat_Lookup!$B$6)</f>
        <v>0.0119724422222153</v>
      </c>
      <c r="K103" s="4"/>
      <c r="L103" s="6"/>
    </row>
    <row r="104" customFormat="false" ht="15" hidden="false" customHeight="false" outlineLevel="0" collapsed="false">
      <c r="A104" s="3" t="n">
        <v>103</v>
      </c>
      <c r="B104" s="3" t="s">
        <v>162</v>
      </c>
      <c r="C104" s="3" t="s">
        <v>50</v>
      </c>
      <c r="D104" s="3" t="s">
        <v>163</v>
      </c>
      <c r="E104" s="3" t="s">
        <v>163</v>
      </c>
      <c r="F104" s="4" t="s">
        <v>51</v>
      </c>
      <c r="G104" s="4" t="s">
        <v>52</v>
      </c>
      <c r="H104" s="5" t="n">
        <f aca="false">IFERROR(INDEX(Ksat_Lookup!$B$9:$B$18,MATCH(F104,Ksat_Lookup!$A$9:$A$18,0)),"")</f>
        <v>-14.1</v>
      </c>
      <c r="I104" s="6" t="n">
        <f aca="false">IF(H104="","",10^H104*Ksat_Lookup!$B$5)</f>
        <v>7.79235998264521E-008</v>
      </c>
      <c r="J104" s="6" t="n">
        <f aca="false">IF(I104="","",I104*Ksat_Lookup!$B$6)</f>
        <v>0.00673259902500546</v>
      </c>
      <c r="K104" s="4"/>
      <c r="L104" s="6"/>
    </row>
    <row r="105" customFormat="false" ht="15" hidden="false" customHeight="false" outlineLevel="0" collapsed="false">
      <c r="A105" s="3" t="n">
        <v>104</v>
      </c>
      <c r="B105" s="3" t="s">
        <v>164</v>
      </c>
      <c r="C105" s="3" t="s">
        <v>13</v>
      </c>
      <c r="D105" s="3" t="s">
        <v>20</v>
      </c>
      <c r="E105" s="3" t="s">
        <v>20</v>
      </c>
      <c r="F105" s="4" t="s">
        <v>15</v>
      </c>
      <c r="G105" s="4" t="s">
        <v>15</v>
      </c>
      <c r="H105" s="5" t="n">
        <f aca="false">IFERROR(INDEX(Ksat_Lookup!$B$9:$B$18,MATCH(F105,Ksat_Lookup!$A$9:$A$18,0)),"")</f>
        <v>-12.5</v>
      </c>
      <c r="I105" s="6" t="n">
        <f aca="false">IF(H105="","",10^H105*Ksat_Lookup!$B$5)</f>
        <v>3.10219438462518E-006</v>
      </c>
      <c r="J105" s="6" t="n">
        <f aca="false">IF(I105="","",I105*Ksat_Lookup!$B$6)</f>
        <v>0.268029594831616</v>
      </c>
      <c r="K105" s="4"/>
      <c r="L105" s="6"/>
    </row>
    <row r="106" customFormat="false" ht="15" hidden="false" customHeight="false" outlineLevel="0" collapsed="false">
      <c r="A106" s="3" t="n">
        <v>105</v>
      </c>
      <c r="B106" s="3" t="s">
        <v>165</v>
      </c>
      <c r="C106" s="3" t="s">
        <v>50</v>
      </c>
      <c r="D106" s="3" t="s">
        <v>77</v>
      </c>
      <c r="E106" s="3" t="s">
        <v>77</v>
      </c>
      <c r="F106" s="4" t="s">
        <v>51</v>
      </c>
      <c r="G106" s="4" t="s">
        <v>52</v>
      </c>
      <c r="H106" s="5" t="n">
        <f aca="false">IFERROR(INDEX(Ksat_Lookup!$B$9:$B$18,MATCH(F106,Ksat_Lookup!$A$9:$A$18,0)),"")</f>
        <v>-14.1</v>
      </c>
      <c r="I106" s="6" t="n">
        <f aca="false">IF(H106="","",10^H106*Ksat_Lookup!$B$5)</f>
        <v>7.79235998264521E-008</v>
      </c>
      <c r="J106" s="6" t="n">
        <f aca="false">IF(I106="","",I106*Ksat_Lookup!$B$6)</f>
        <v>0.00673259902500546</v>
      </c>
      <c r="K106" s="4"/>
      <c r="L106" s="6"/>
    </row>
    <row r="107" customFormat="false" ht="15" hidden="false" customHeight="false" outlineLevel="0" collapsed="false">
      <c r="A107" s="3" t="n">
        <v>106</v>
      </c>
      <c r="B107" s="3" t="s">
        <v>166</v>
      </c>
      <c r="C107" s="3" t="s">
        <v>50</v>
      </c>
      <c r="D107" s="3" t="s">
        <v>54</v>
      </c>
      <c r="E107" s="3" t="s">
        <v>54</v>
      </c>
      <c r="F107" s="4" t="s">
        <v>51</v>
      </c>
      <c r="G107" s="4" t="s">
        <v>52</v>
      </c>
      <c r="H107" s="5" t="n">
        <f aca="false">IFERROR(INDEX(Ksat_Lookup!$B$9:$B$18,MATCH(F107,Ksat_Lookup!$A$9:$A$18,0)),"")</f>
        <v>-14.1</v>
      </c>
      <c r="I107" s="6" t="n">
        <f aca="false">IF(H107="","",10^H107*Ksat_Lookup!$B$5)</f>
        <v>7.79235998264521E-008</v>
      </c>
      <c r="J107" s="6" t="n">
        <f aca="false">IF(I107="","",I107*Ksat_Lookup!$B$6)</f>
        <v>0.00673259902500546</v>
      </c>
      <c r="K107" s="4"/>
      <c r="L107" s="6"/>
    </row>
    <row r="108" customFormat="false" ht="15" hidden="false" customHeight="false" outlineLevel="0" collapsed="false">
      <c r="A108" s="3" t="n">
        <v>107</v>
      </c>
      <c r="B108" s="3" t="s">
        <v>167</v>
      </c>
      <c r="C108" s="3" t="s">
        <v>13</v>
      </c>
      <c r="D108" s="3" t="s">
        <v>63</v>
      </c>
      <c r="E108" s="3" t="s">
        <v>63</v>
      </c>
      <c r="F108" s="4" t="s">
        <v>34</v>
      </c>
      <c r="G108" s="4" t="s">
        <v>35</v>
      </c>
      <c r="H108" s="5" t="n">
        <f aca="false">IFERROR(INDEX(Ksat_Lookup!$B$9:$B$18,MATCH(F108,Ksat_Lookup!$A$9:$A$18,0)),"")</f>
        <v>-13.85</v>
      </c>
      <c r="I108" s="6" t="n">
        <f aca="false">IF(H108="","",10^H108*Ksat_Lookup!$B$5)</f>
        <v>1.38569933127492E-007</v>
      </c>
      <c r="J108" s="6" t="n">
        <f aca="false">IF(I108="","",I108*Ksat_Lookup!$B$6)</f>
        <v>0.0119724422222153</v>
      </c>
      <c r="K108" s="4"/>
      <c r="L108" s="6"/>
    </row>
    <row r="109" customFormat="false" ht="15" hidden="false" customHeight="false" outlineLevel="0" collapsed="false">
      <c r="A109" s="3" t="n">
        <v>108</v>
      </c>
      <c r="B109" s="3" t="s">
        <v>168</v>
      </c>
      <c r="C109" s="3" t="s">
        <v>13</v>
      </c>
      <c r="D109" s="3" t="s">
        <v>20</v>
      </c>
      <c r="E109" s="3" t="s">
        <v>20</v>
      </c>
      <c r="F109" s="4" t="s">
        <v>15</v>
      </c>
      <c r="G109" s="4" t="s">
        <v>15</v>
      </c>
      <c r="H109" s="5" t="n">
        <f aca="false">IFERROR(INDEX(Ksat_Lookup!$B$9:$B$18,MATCH(F109,Ksat_Lookup!$A$9:$A$18,0)),"")</f>
        <v>-12.5</v>
      </c>
      <c r="I109" s="6" t="n">
        <f aca="false">IF(H109="","",10^H109*Ksat_Lookup!$B$5)</f>
        <v>3.10219438462518E-006</v>
      </c>
      <c r="J109" s="6" t="n">
        <f aca="false">IF(I109="","",I109*Ksat_Lookup!$B$6)</f>
        <v>0.268029594831616</v>
      </c>
      <c r="K109" s="4"/>
      <c r="L109" s="6"/>
    </row>
    <row r="110" customFormat="false" ht="15" hidden="false" customHeight="false" outlineLevel="0" collapsed="false">
      <c r="A110" s="3" t="n">
        <v>109</v>
      </c>
      <c r="B110" s="3" t="s">
        <v>169</v>
      </c>
      <c r="C110" s="3" t="s">
        <v>19</v>
      </c>
      <c r="D110" s="3" t="s">
        <v>64</v>
      </c>
      <c r="E110" s="3" t="s">
        <v>64</v>
      </c>
      <c r="F110" s="4" t="s">
        <v>22</v>
      </c>
      <c r="G110" s="4" t="s">
        <v>23</v>
      </c>
      <c r="H110" s="5" t="n">
        <f aca="false">IFERROR(INDEX(Ksat_Lookup!$B$9:$B$18,MATCH(F110,Ksat_Lookup!$A$9:$A$18,0)),"")</f>
        <v>-15.2</v>
      </c>
      <c r="I110" s="6" t="n">
        <f aca="false">IF(H110="","",10^H110*Ksat_Lookup!$B$5)</f>
        <v>6.18969154935071E-009</v>
      </c>
      <c r="J110" s="6" t="n">
        <f aca="false">IF(I110="","",I110*Ksat_Lookup!$B$6)</f>
        <v>0.000534789349863901</v>
      </c>
      <c r="K110" s="4"/>
      <c r="L110" s="6"/>
    </row>
    <row r="111" customFormat="false" ht="15" hidden="false" customHeight="false" outlineLevel="0" collapsed="false">
      <c r="A111" s="3" t="n">
        <v>110</v>
      </c>
      <c r="B111" s="3" t="s">
        <v>170</v>
      </c>
      <c r="C111" s="3" t="s">
        <v>19</v>
      </c>
      <c r="D111" s="3" t="s">
        <v>33</v>
      </c>
      <c r="E111" s="3" t="s">
        <v>33</v>
      </c>
      <c r="F111" s="4" t="s">
        <v>22</v>
      </c>
      <c r="G111" s="4" t="s">
        <v>23</v>
      </c>
      <c r="H111" s="5" t="n">
        <f aca="false">IFERROR(INDEX(Ksat_Lookup!$B$9:$B$18,MATCH(F111,Ksat_Lookup!$A$9:$A$18,0)),"")</f>
        <v>-15.2</v>
      </c>
      <c r="I111" s="6" t="n">
        <f aca="false">IF(H111="","",10^H111*Ksat_Lookup!$B$5)</f>
        <v>6.18969154935071E-009</v>
      </c>
      <c r="J111" s="6" t="n">
        <f aca="false">IF(I111="","",I111*Ksat_Lookup!$B$6)</f>
        <v>0.000534789349863901</v>
      </c>
      <c r="K111" s="4"/>
      <c r="L111" s="6"/>
    </row>
    <row r="112" customFormat="false" ht="15" hidden="false" customHeight="false" outlineLevel="0" collapsed="false">
      <c r="A112" s="3" t="n">
        <v>111</v>
      </c>
      <c r="B112" s="3" t="s">
        <v>171</v>
      </c>
      <c r="C112" s="3" t="s">
        <v>13</v>
      </c>
      <c r="D112" s="3" t="s">
        <v>20</v>
      </c>
      <c r="E112" s="3" t="s">
        <v>66</v>
      </c>
      <c r="F112" s="4" t="s">
        <v>15</v>
      </c>
      <c r="G112" s="4" t="s">
        <v>15</v>
      </c>
      <c r="H112" s="5" t="n">
        <f aca="false">IFERROR(INDEX(Ksat_Lookup!$B$9:$B$18,MATCH(F112,Ksat_Lookup!$A$9:$A$18,0)),"")</f>
        <v>-12.5</v>
      </c>
      <c r="I112" s="6" t="n">
        <f aca="false">IF(H112="","",10^H112*Ksat_Lookup!$B$5)</f>
        <v>3.10219438462518E-006</v>
      </c>
      <c r="J112" s="6" t="n">
        <f aca="false">IF(I112="","",I112*Ksat_Lookup!$B$6)</f>
        <v>0.268029594831616</v>
      </c>
      <c r="K112" s="4"/>
      <c r="L112" s="6"/>
    </row>
    <row r="113" customFormat="false" ht="15" hidden="false" customHeight="false" outlineLevel="0" collapsed="false">
      <c r="A113" s="3" t="n">
        <v>112</v>
      </c>
      <c r="B113" s="3" t="s">
        <v>172</v>
      </c>
      <c r="C113" s="3" t="s">
        <v>50</v>
      </c>
      <c r="D113" s="3" t="s">
        <v>41</v>
      </c>
      <c r="E113" s="3" t="s">
        <v>20</v>
      </c>
      <c r="F113" s="4" t="s">
        <v>51</v>
      </c>
      <c r="G113" s="4" t="s">
        <v>52</v>
      </c>
      <c r="H113" s="5" t="n">
        <f aca="false">IFERROR(INDEX(Ksat_Lookup!$B$9:$B$18,MATCH(F113,Ksat_Lookup!$A$9:$A$18,0)),"")</f>
        <v>-14.1</v>
      </c>
      <c r="I113" s="6" t="n">
        <f aca="false">IF(H113="","",10^H113*Ksat_Lookup!$B$5)</f>
        <v>7.79235998264521E-008</v>
      </c>
      <c r="J113" s="6" t="n">
        <f aca="false">IF(I113="","",I113*Ksat_Lookup!$B$6)</f>
        <v>0.00673259902500546</v>
      </c>
      <c r="K113" s="4"/>
      <c r="L113" s="6"/>
    </row>
    <row r="114" customFormat="false" ht="15" hidden="false" customHeight="false" outlineLevel="0" collapsed="false">
      <c r="A114" s="3" t="n">
        <v>113</v>
      </c>
      <c r="B114" s="3" t="s">
        <v>173</v>
      </c>
      <c r="C114" s="3" t="s">
        <v>13</v>
      </c>
      <c r="D114" s="3" t="s">
        <v>54</v>
      </c>
      <c r="E114" s="3" t="s">
        <v>54</v>
      </c>
      <c r="F114" s="4" t="s">
        <v>15</v>
      </c>
      <c r="G114" s="4" t="s">
        <v>15</v>
      </c>
      <c r="H114" s="5" t="n">
        <f aca="false">IFERROR(INDEX(Ksat_Lookup!$B$9:$B$18,MATCH(F114,Ksat_Lookup!$A$9:$A$18,0)),"")</f>
        <v>-12.5</v>
      </c>
      <c r="I114" s="6" t="n">
        <f aca="false">IF(H114="","",10^H114*Ksat_Lookup!$B$5)</f>
        <v>3.10219438462518E-006</v>
      </c>
      <c r="J114" s="6" t="n">
        <f aca="false">IF(I114="","",I114*Ksat_Lookup!$B$6)</f>
        <v>0.268029594831616</v>
      </c>
      <c r="K114" s="4"/>
      <c r="L114" s="6"/>
    </row>
    <row r="115" customFormat="false" ht="15" hidden="false" customHeight="false" outlineLevel="0" collapsed="false">
      <c r="A115" s="3" t="n">
        <v>114</v>
      </c>
      <c r="B115" s="3" t="s">
        <v>174</v>
      </c>
      <c r="C115" s="3" t="s">
        <v>19</v>
      </c>
      <c r="D115" s="3" t="s">
        <v>66</v>
      </c>
      <c r="E115" s="3" t="s">
        <v>66</v>
      </c>
      <c r="F115" s="4" t="s">
        <v>22</v>
      </c>
      <c r="G115" s="4" t="s">
        <v>23</v>
      </c>
      <c r="H115" s="5" t="n">
        <f aca="false">IFERROR(INDEX(Ksat_Lookup!$B$9:$B$18,MATCH(F115,Ksat_Lookup!$A$9:$A$18,0)),"")</f>
        <v>-15.2</v>
      </c>
      <c r="I115" s="6" t="n">
        <f aca="false">IF(H115="","",10^H115*Ksat_Lookup!$B$5)</f>
        <v>6.18969154935071E-009</v>
      </c>
      <c r="J115" s="6" t="n">
        <f aca="false">IF(I115="","",I115*Ksat_Lookup!$B$6)</f>
        <v>0.000534789349863901</v>
      </c>
      <c r="K115" s="4"/>
      <c r="L115" s="6"/>
    </row>
    <row r="116" customFormat="false" ht="15" hidden="false" customHeight="false" outlineLevel="0" collapsed="false">
      <c r="A116" s="3" t="n">
        <v>115</v>
      </c>
      <c r="B116" s="3" t="s">
        <v>175</v>
      </c>
      <c r="C116" s="3" t="s">
        <v>50</v>
      </c>
      <c r="D116" s="3" t="s">
        <v>163</v>
      </c>
      <c r="E116" s="3" t="s">
        <v>163</v>
      </c>
      <c r="F116" s="4" t="s">
        <v>51</v>
      </c>
      <c r="G116" s="4" t="s">
        <v>52</v>
      </c>
      <c r="H116" s="5" t="n">
        <f aca="false">IFERROR(INDEX(Ksat_Lookup!$B$9:$B$18,MATCH(F116,Ksat_Lookup!$A$9:$A$18,0)),"")</f>
        <v>-14.1</v>
      </c>
      <c r="I116" s="6" t="n">
        <f aca="false">IF(H116="","",10^H116*Ksat_Lookup!$B$5)</f>
        <v>7.79235998264521E-008</v>
      </c>
      <c r="J116" s="6" t="n">
        <f aca="false">IF(I116="","",I116*Ksat_Lookup!$B$6)</f>
        <v>0.00673259902500546</v>
      </c>
      <c r="K116" s="4"/>
      <c r="L116" s="6"/>
    </row>
    <row r="117" customFormat="false" ht="15" hidden="false" customHeight="false" outlineLevel="0" collapsed="false">
      <c r="A117" s="3" t="n">
        <v>116</v>
      </c>
      <c r="B117" s="3" t="s">
        <v>176</v>
      </c>
      <c r="C117" s="3" t="s">
        <v>13</v>
      </c>
      <c r="D117" s="3" t="s">
        <v>20</v>
      </c>
      <c r="E117" s="3" t="s">
        <v>28</v>
      </c>
      <c r="F117" s="4" t="s">
        <v>34</v>
      </c>
      <c r="G117" s="4" t="s">
        <v>35</v>
      </c>
      <c r="H117" s="5" t="n">
        <f aca="false">IFERROR(INDEX(Ksat_Lookup!$B$9:$B$18,MATCH(F117,Ksat_Lookup!$A$9:$A$18,0)),"")</f>
        <v>-13.85</v>
      </c>
      <c r="I117" s="6" t="n">
        <f aca="false">IF(H117="","",10^H117*Ksat_Lookup!$B$5)</f>
        <v>1.38569933127492E-007</v>
      </c>
      <c r="J117" s="6" t="n">
        <f aca="false">IF(I117="","",I117*Ksat_Lookup!$B$6)</f>
        <v>0.0119724422222153</v>
      </c>
      <c r="K117" s="4"/>
      <c r="L117" s="6"/>
    </row>
    <row r="118" customFormat="false" ht="15" hidden="false" customHeight="false" outlineLevel="0" collapsed="false">
      <c r="A118" s="3" t="n">
        <v>117</v>
      </c>
      <c r="B118" s="3" t="s">
        <v>177</v>
      </c>
      <c r="C118" s="3" t="s">
        <v>50</v>
      </c>
      <c r="D118" s="3" t="s">
        <v>39</v>
      </c>
      <c r="E118" s="3" t="s">
        <v>41</v>
      </c>
      <c r="F118" s="4" t="s">
        <v>51</v>
      </c>
      <c r="G118" s="4" t="s">
        <v>52</v>
      </c>
      <c r="H118" s="5" t="n">
        <f aca="false">IFERROR(INDEX(Ksat_Lookup!$B$9:$B$18,MATCH(F118,Ksat_Lookup!$A$9:$A$18,0)),"")</f>
        <v>-14.1</v>
      </c>
      <c r="I118" s="6" t="n">
        <f aca="false">IF(H118="","",10^H118*Ksat_Lookup!$B$5)</f>
        <v>7.79235998264521E-008</v>
      </c>
      <c r="J118" s="6" t="n">
        <f aca="false">IF(I118="","",I118*Ksat_Lookup!$B$6)</f>
        <v>0.00673259902500546</v>
      </c>
      <c r="K118" s="4"/>
      <c r="L118" s="6"/>
    </row>
    <row r="119" customFormat="false" ht="15" hidden="false" customHeight="false" outlineLevel="0" collapsed="false">
      <c r="A119" s="3" t="n">
        <v>118</v>
      </c>
      <c r="B119" s="3" t="s">
        <v>178</v>
      </c>
      <c r="C119" s="3" t="s">
        <v>50</v>
      </c>
      <c r="D119" s="3" t="s">
        <v>17</v>
      </c>
      <c r="E119" s="3" t="s">
        <v>39</v>
      </c>
      <c r="F119" s="4" t="s">
        <v>51</v>
      </c>
      <c r="G119" s="4" t="s">
        <v>52</v>
      </c>
      <c r="H119" s="5" t="n">
        <f aca="false">IFERROR(INDEX(Ksat_Lookup!$B$9:$B$18,MATCH(F119,Ksat_Lookup!$A$9:$A$18,0)),"")</f>
        <v>-14.1</v>
      </c>
      <c r="I119" s="6" t="n">
        <f aca="false">IF(H119="","",10^H119*Ksat_Lookup!$B$5)</f>
        <v>7.79235998264521E-008</v>
      </c>
      <c r="J119" s="6" t="n">
        <f aca="false">IF(I119="","",I119*Ksat_Lookup!$B$6)</f>
        <v>0.00673259902500546</v>
      </c>
      <c r="K119" s="4"/>
      <c r="L119" s="6"/>
    </row>
    <row r="120" customFormat="false" ht="15" hidden="false" customHeight="false" outlineLevel="0" collapsed="false">
      <c r="A120" s="3" t="n">
        <v>119</v>
      </c>
      <c r="B120" s="3" t="s">
        <v>179</v>
      </c>
      <c r="C120" s="3" t="s">
        <v>50</v>
      </c>
      <c r="D120" s="3" t="s">
        <v>54</v>
      </c>
      <c r="E120" s="3" t="s">
        <v>54</v>
      </c>
      <c r="F120" s="4" t="s">
        <v>51</v>
      </c>
      <c r="G120" s="4" t="s">
        <v>52</v>
      </c>
      <c r="H120" s="5" t="n">
        <f aca="false">IFERROR(INDEX(Ksat_Lookup!$B$9:$B$18,MATCH(F120,Ksat_Lookup!$A$9:$A$18,0)),"")</f>
        <v>-14.1</v>
      </c>
      <c r="I120" s="6" t="n">
        <f aca="false">IF(H120="","",10^H120*Ksat_Lookup!$B$5)</f>
        <v>7.79235998264521E-008</v>
      </c>
      <c r="J120" s="6" t="n">
        <f aca="false">IF(I120="","",I120*Ksat_Lookup!$B$6)</f>
        <v>0.00673259902500546</v>
      </c>
      <c r="K120" s="4"/>
      <c r="L120" s="6"/>
    </row>
    <row r="121" customFormat="false" ht="15" hidden="false" customHeight="false" outlineLevel="0" collapsed="false">
      <c r="A121" s="3" t="n">
        <v>120</v>
      </c>
      <c r="B121" s="3" t="s">
        <v>180</v>
      </c>
      <c r="C121" s="3" t="s">
        <v>19</v>
      </c>
      <c r="D121" s="3" t="s">
        <v>28</v>
      </c>
      <c r="E121" s="3" t="s">
        <v>108</v>
      </c>
      <c r="F121" s="4" t="s">
        <v>22</v>
      </c>
      <c r="G121" s="4" t="s">
        <v>23</v>
      </c>
      <c r="H121" s="5" t="n">
        <f aca="false">IFERROR(INDEX(Ksat_Lookup!$B$9:$B$18,MATCH(F121,Ksat_Lookup!$A$9:$A$18,0)),"")</f>
        <v>-15.2</v>
      </c>
      <c r="I121" s="6" t="n">
        <f aca="false">IF(H121="","",10^H121*Ksat_Lookup!$B$5)</f>
        <v>6.18969154935071E-009</v>
      </c>
      <c r="J121" s="6" t="n">
        <f aca="false">IF(I121="","",I121*Ksat_Lookup!$B$6)</f>
        <v>0.000534789349863901</v>
      </c>
      <c r="K121" s="4"/>
      <c r="L121" s="6"/>
    </row>
    <row r="122" customFormat="false" ht="15" hidden="false" customHeight="false" outlineLevel="0" collapsed="false">
      <c r="A122" s="3" t="n">
        <v>121</v>
      </c>
      <c r="B122" s="3" t="s">
        <v>181</v>
      </c>
      <c r="C122" s="3" t="s">
        <v>13</v>
      </c>
      <c r="D122" s="3" t="s">
        <v>14</v>
      </c>
      <c r="E122" s="3" t="s">
        <v>17</v>
      </c>
      <c r="F122" s="4" t="s">
        <v>15</v>
      </c>
      <c r="G122" s="4" t="s">
        <v>15</v>
      </c>
      <c r="H122" s="5" t="n">
        <f aca="false">IFERROR(INDEX(Ksat_Lookup!$B$9:$B$18,MATCH(F122,Ksat_Lookup!$A$9:$A$18,0)),"")</f>
        <v>-12.5</v>
      </c>
      <c r="I122" s="6" t="n">
        <f aca="false">IF(H122="","",10^H122*Ksat_Lookup!$B$5)</f>
        <v>3.10219438462518E-006</v>
      </c>
      <c r="J122" s="6" t="n">
        <f aca="false">IF(I122="","",I122*Ksat_Lookup!$B$6)</f>
        <v>0.268029594831616</v>
      </c>
      <c r="K122" s="4"/>
      <c r="L122" s="6"/>
    </row>
    <row r="123" customFormat="false" ht="15" hidden="false" customHeight="false" outlineLevel="0" collapsed="false">
      <c r="A123" s="3" t="n">
        <v>122</v>
      </c>
      <c r="B123" s="3" t="s">
        <v>182</v>
      </c>
      <c r="C123" s="3" t="s">
        <v>13</v>
      </c>
      <c r="D123" s="3" t="s">
        <v>20</v>
      </c>
      <c r="E123" s="3" t="s">
        <v>20</v>
      </c>
      <c r="F123" s="4" t="s">
        <v>34</v>
      </c>
      <c r="G123" s="4" t="s">
        <v>35</v>
      </c>
      <c r="H123" s="5" t="n">
        <f aca="false">IFERROR(INDEX(Ksat_Lookup!$B$9:$B$18,MATCH(F123,Ksat_Lookup!$A$9:$A$18,0)),"")</f>
        <v>-13.85</v>
      </c>
      <c r="I123" s="6" t="n">
        <f aca="false">IF(H123="","",10^H123*Ksat_Lookup!$B$5)</f>
        <v>1.38569933127492E-007</v>
      </c>
      <c r="J123" s="6" t="n">
        <f aca="false">IF(I123="","",I123*Ksat_Lookup!$B$6)</f>
        <v>0.0119724422222153</v>
      </c>
      <c r="K123" s="4"/>
      <c r="L123" s="6"/>
    </row>
    <row r="124" customFormat="false" ht="15" hidden="false" customHeight="false" outlineLevel="0" collapsed="false">
      <c r="A124" s="3" t="n">
        <v>123</v>
      </c>
      <c r="B124" s="3" t="s">
        <v>183</v>
      </c>
      <c r="C124" s="3" t="s">
        <v>13</v>
      </c>
      <c r="D124" s="3" t="s">
        <v>41</v>
      </c>
      <c r="E124" s="3" t="s">
        <v>20</v>
      </c>
      <c r="F124" s="4" t="s">
        <v>15</v>
      </c>
      <c r="G124" s="4" t="s">
        <v>15</v>
      </c>
      <c r="H124" s="5" t="n">
        <f aca="false">IFERROR(INDEX(Ksat_Lookup!$B$9:$B$18,MATCH(F124,Ksat_Lookup!$A$9:$A$18,0)),"")</f>
        <v>-12.5</v>
      </c>
      <c r="I124" s="6" t="n">
        <f aca="false">IF(H124="","",10^H124*Ksat_Lookup!$B$5)</f>
        <v>3.10219438462518E-006</v>
      </c>
      <c r="J124" s="6" t="n">
        <f aca="false">IF(I124="","",I124*Ksat_Lookup!$B$6)</f>
        <v>0.268029594831616</v>
      </c>
      <c r="K124" s="4"/>
      <c r="L124" s="6"/>
    </row>
    <row r="125" customFormat="false" ht="15" hidden="false" customHeight="false" outlineLevel="0" collapsed="false">
      <c r="A125" s="3" t="n">
        <v>124</v>
      </c>
      <c r="B125" s="3" t="s">
        <v>184</v>
      </c>
      <c r="C125" s="3" t="s">
        <v>13</v>
      </c>
      <c r="D125" s="3" t="s">
        <v>63</v>
      </c>
      <c r="E125" s="3" t="s">
        <v>64</v>
      </c>
      <c r="F125" s="4" t="s">
        <v>15</v>
      </c>
      <c r="G125" s="4" t="s">
        <v>15</v>
      </c>
      <c r="H125" s="5" t="n">
        <f aca="false">IFERROR(INDEX(Ksat_Lookup!$B$9:$B$18,MATCH(F125,Ksat_Lookup!$A$9:$A$18,0)),"")</f>
        <v>-12.5</v>
      </c>
      <c r="I125" s="6" t="n">
        <f aca="false">IF(H125="","",10^H125*Ksat_Lookup!$B$5)</f>
        <v>3.10219438462518E-006</v>
      </c>
      <c r="J125" s="6" t="n">
        <f aca="false">IF(I125="","",I125*Ksat_Lookup!$B$6)</f>
        <v>0.268029594831616</v>
      </c>
      <c r="K125" s="4"/>
      <c r="L125" s="6"/>
    </row>
    <row r="126" customFormat="false" ht="15" hidden="false" customHeight="false" outlineLevel="0" collapsed="false">
      <c r="A126" s="3" t="n">
        <v>125</v>
      </c>
      <c r="B126" s="3" t="s">
        <v>185</v>
      </c>
      <c r="C126" s="3" t="s">
        <v>50</v>
      </c>
      <c r="D126" s="3" t="s">
        <v>152</v>
      </c>
      <c r="E126" s="3" t="s">
        <v>152</v>
      </c>
      <c r="F126" s="4" t="s">
        <v>51</v>
      </c>
      <c r="G126" s="4" t="s">
        <v>52</v>
      </c>
      <c r="H126" s="5" t="n">
        <f aca="false">IFERROR(INDEX(Ksat_Lookup!$B$9:$B$18,MATCH(F126,Ksat_Lookup!$A$9:$A$18,0)),"")</f>
        <v>-14.1</v>
      </c>
      <c r="I126" s="6" t="n">
        <f aca="false">IF(H126="","",10^H126*Ksat_Lookup!$B$5)</f>
        <v>7.79235998264521E-008</v>
      </c>
      <c r="J126" s="6" t="n">
        <f aca="false">IF(I126="","",I126*Ksat_Lookup!$B$6)</f>
        <v>0.00673259902500546</v>
      </c>
      <c r="K126" s="4"/>
      <c r="L126" s="6"/>
    </row>
    <row r="127" customFormat="false" ht="15" hidden="false" customHeight="false" outlineLevel="0" collapsed="false">
      <c r="A127" s="3" t="n">
        <v>126</v>
      </c>
      <c r="B127" s="3" t="s">
        <v>186</v>
      </c>
      <c r="C127" s="3" t="s">
        <v>13</v>
      </c>
      <c r="D127" s="3" t="s">
        <v>17</v>
      </c>
      <c r="E127" s="3" t="s">
        <v>17</v>
      </c>
      <c r="F127" s="4" t="s">
        <v>15</v>
      </c>
      <c r="G127" s="4" t="s">
        <v>15</v>
      </c>
      <c r="H127" s="5" t="n">
        <f aca="false">IFERROR(INDEX(Ksat_Lookup!$B$9:$B$18,MATCH(F127,Ksat_Lookup!$A$9:$A$18,0)),"")</f>
        <v>-12.5</v>
      </c>
      <c r="I127" s="6" t="n">
        <f aca="false">IF(H127="","",10^H127*Ksat_Lookup!$B$5)</f>
        <v>3.10219438462518E-006</v>
      </c>
      <c r="J127" s="6" t="n">
        <f aca="false">IF(I127="","",I127*Ksat_Lookup!$B$6)</f>
        <v>0.268029594831616</v>
      </c>
      <c r="K127" s="4"/>
      <c r="L127" s="6"/>
    </row>
    <row r="128" customFormat="false" ht="15" hidden="false" customHeight="false" outlineLevel="0" collapsed="false">
      <c r="A128" s="3" t="n">
        <v>127</v>
      </c>
      <c r="B128" s="3" t="s">
        <v>187</v>
      </c>
      <c r="C128" s="3" t="s">
        <v>13</v>
      </c>
      <c r="D128" s="3" t="s">
        <v>114</v>
      </c>
      <c r="E128" s="3" t="s">
        <v>137</v>
      </c>
      <c r="F128" s="4" t="s">
        <v>34</v>
      </c>
      <c r="G128" s="4" t="s">
        <v>35</v>
      </c>
      <c r="H128" s="5" t="n">
        <f aca="false">IFERROR(INDEX(Ksat_Lookup!$B$9:$B$18,MATCH(F128,Ksat_Lookup!$A$9:$A$18,0)),"")</f>
        <v>-13.85</v>
      </c>
      <c r="I128" s="6" t="n">
        <f aca="false">IF(H128="","",10^H128*Ksat_Lookup!$B$5)</f>
        <v>1.38569933127492E-007</v>
      </c>
      <c r="J128" s="6" t="n">
        <f aca="false">IF(I128="","",I128*Ksat_Lookup!$B$6)</f>
        <v>0.0119724422222153</v>
      </c>
      <c r="K128" s="4"/>
      <c r="L128" s="6"/>
    </row>
    <row r="129" customFormat="false" ht="15" hidden="false" customHeight="false" outlineLevel="0" collapsed="false">
      <c r="A129" s="3" t="n">
        <v>128</v>
      </c>
      <c r="B129" s="3" t="s">
        <v>188</v>
      </c>
      <c r="C129" s="3" t="s">
        <v>50</v>
      </c>
      <c r="D129" s="3" t="s">
        <v>33</v>
      </c>
      <c r="E129" s="3" t="s">
        <v>33</v>
      </c>
      <c r="F129" s="4" t="s">
        <v>51</v>
      </c>
      <c r="G129" s="4" t="s">
        <v>52</v>
      </c>
      <c r="H129" s="5" t="n">
        <f aca="false">IFERROR(INDEX(Ksat_Lookup!$B$9:$B$18,MATCH(F129,Ksat_Lookup!$A$9:$A$18,0)),"")</f>
        <v>-14.1</v>
      </c>
      <c r="I129" s="6" t="n">
        <f aca="false">IF(H129="","",10^H129*Ksat_Lookup!$B$5)</f>
        <v>7.79235998264521E-008</v>
      </c>
      <c r="J129" s="6" t="n">
        <f aca="false">IF(I129="","",I129*Ksat_Lookup!$B$6)</f>
        <v>0.00673259902500546</v>
      </c>
      <c r="K129" s="4"/>
      <c r="L129" s="6"/>
    </row>
    <row r="130" customFormat="false" ht="15" hidden="false" customHeight="false" outlineLevel="0" collapsed="false">
      <c r="A130" s="3" t="n">
        <v>129</v>
      </c>
      <c r="B130" s="3" t="s">
        <v>189</v>
      </c>
      <c r="C130" s="3" t="s">
        <v>50</v>
      </c>
      <c r="D130" s="3" t="s">
        <v>17</v>
      </c>
      <c r="E130" s="3" t="s">
        <v>17</v>
      </c>
      <c r="F130" s="4" t="s">
        <v>51</v>
      </c>
      <c r="G130" s="4" t="s">
        <v>52</v>
      </c>
      <c r="H130" s="5" t="n">
        <f aca="false">IFERROR(INDEX(Ksat_Lookup!$B$9:$B$18,MATCH(F130,Ksat_Lookup!$A$9:$A$18,0)),"")</f>
        <v>-14.1</v>
      </c>
      <c r="I130" s="6" t="n">
        <f aca="false">IF(H130="","",10^H130*Ksat_Lookup!$B$5)</f>
        <v>7.79235998264521E-008</v>
      </c>
      <c r="J130" s="6" t="n">
        <f aca="false">IF(I130="","",I130*Ksat_Lookup!$B$6)</f>
        <v>0.00673259902500546</v>
      </c>
      <c r="K130" s="4"/>
      <c r="L130" s="6"/>
    </row>
    <row r="131" customFormat="false" ht="15" hidden="false" customHeight="false" outlineLevel="0" collapsed="false">
      <c r="A131" s="3" t="n">
        <v>130</v>
      </c>
      <c r="B131" s="3" t="s">
        <v>190</v>
      </c>
      <c r="C131" s="3" t="s">
        <v>19</v>
      </c>
      <c r="D131" s="3" t="s">
        <v>137</v>
      </c>
      <c r="E131" s="3" t="s">
        <v>108</v>
      </c>
      <c r="F131" s="4" t="s">
        <v>22</v>
      </c>
      <c r="G131" s="4" t="s">
        <v>23</v>
      </c>
      <c r="H131" s="5" t="n">
        <f aca="false">IFERROR(INDEX(Ksat_Lookup!$B$9:$B$18,MATCH(F131,Ksat_Lookup!$A$9:$A$18,0)),"")</f>
        <v>-15.2</v>
      </c>
      <c r="I131" s="6" t="n">
        <f aca="false">IF(H131="","",10^H131*Ksat_Lookup!$B$5)</f>
        <v>6.18969154935071E-009</v>
      </c>
      <c r="J131" s="6" t="n">
        <f aca="false">IF(I131="","",I131*Ksat_Lookup!$B$6)</f>
        <v>0.000534789349863901</v>
      </c>
      <c r="K131" s="4"/>
      <c r="L131" s="6"/>
    </row>
    <row r="132" customFormat="false" ht="15" hidden="false" customHeight="false" outlineLevel="0" collapsed="false">
      <c r="A132" s="3" t="n">
        <v>131</v>
      </c>
      <c r="B132" s="3" t="s">
        <v>191</v>
      </c>
      <c r="C132" s="3" t="s">
        <v>19</v>
      </c>
      <c r="D132" s="3" t="s">
        <v>29</v>
      </c>
      <c r="E132" s="3" t="s">
        <v>29</v>
      </c>
      <c r="F132" s="4" t="s">
        <v>22</v>
      </c>
      <c r="G132" s="4" t="s">
        <v>23</v>
      </c>
      <c r="H132" s="5" t="n">
        <f aca="false">IFERROR(INDEX(Ksat_Lookup!$B$9:$B$18,MATCH(F132,Ksat_Lookup!$A$9:$A$18,0)),"")</f>
        <v>-15.2</v>
      </c>
      <c r="I132" s="6" t="n">
        <f aca="false">IF(H132="","",10^H132*Ksat_Lookup!$B$5)</f>
        <v>6.18969154935071E-009</v>
      </c>
      <c r="J132" s="6" t="n">
        <f aca="false">IF(I132="","",I132*Ksat_Lookup!$B$6)</f>
        <v>0.000534789349863901</v>
      </c>
      <c r="K132" s="4"/>
      <c r="L132" s="6"/>
    </row>
    <row r="133" customFormat="false" ht="15" hidden="false" customHeight="false" outlineLevel="0" collapsed="false">
      <c r="A133" s="3" t="n">
        <v>132</v>
      </c>
      <c r="B133" s="3" t="s">
        <v>192</v>
      </c>
      <c r="C133" s="3" t="s">
        <v>19</v>
      </c>
      <c r="D133" s="3" t="s">
        <v>193</v>
      </c>
      <c r="E133" s="3" t="s">
        <v>193</v>
      </c>
      <c r="F133" s="4" t="s">
        <v>22</v>
      </c>
      <c r="G133" s="4" t="s">
        <v>23</v>
      </c>
      <c r="H133" s="5" t="n">
        <f aca="false">IFERROR(INDEX(Ksat_Lookup!$B$9:$B$18,MATCH(F133,Ksat_Lookup!$A$9:$A$18,0)),"")</f>
        <v>-15.2</v>
      </c>
      <c r="I133" s="6" t="n">
        <f aca="false">IF(H133="","",10^H133*Ksat_Lookup!$B$5)</f>
        <v>6.18969154935071E-009</v>
      </c>
      <c r="J133" s="6" t="n">
        <f aca="false">IF(I133="","",I133*Ksat_Lookup!$B$6)</f>
        <v>0.000534789349863901</v>
      </c>
      <c r="K133" s="4"/>
      <c r="L133" s="6"/>
    </row>
    <row r="134" customFormat="false" ht="15" hidden="false" customHeight="false" outlineLevel="0" collapsed="false">
      <c r="A134" s="3" t="n">
        <v>133</v>
      </c>
      <c r="B134" s="3" t="s">
        <v>194</v>
      </c>
      <c r="C134" s="3" t="s">
        <v>13</v>
      </c>
      <c r="D134" s="3" t="s">
        <v>28</v>
      </c>
      <c r="E134" s="3" t="s">
        <v>108</v>
      </c>
      <c r="F134" s="4" t="s">
        <v>34</v>
      </c>
      <c r="G134" s="4" t="s">
        <v>35</v>
      </c>
      <c r="H134" s="5" t="n">
        <f aca="false">IFERROR(INDEX(Ksat_Lookup!$B$9:$B$18,MATCH(F134,Ksat_Lookup!$A$9:$A$18,0)),"")</f>
        <v>-13.85</v>
      </c>
      <c r="I134" s="6" t="n">
        <f aca="false">IF(H134="","",10^H134*Ksat_Lookup!$B$5)</f>
        <v>1.38569933127492E-007</v>
      </c>
      <c r="J134" s="6" t="n">
        <f aca="false">IF(I134="","",I134*Ksat_Lookup!$B$6)</f>
        <v>0.0119724422222153</v>
      </c>
      <c r="K134" s="4"/>
      <c r="L134" s="6"/>
    </row>
    <row r="135" customFormat="false" ht="15" hidden="false" customHeight="false" outlineLevel="0" collapsed="false">
      <c r="A135" s="3" t="n">
        <v>134</v>
      </c>
      <c r="B135" s="3" t="s">
        <v>195</v>
      </c>
      <c r="C135" s="3" t="s">
        <v>13</v>
      </c>
      <c r="D135" s="3" t="s">
        <v>87</v>
      </c>
      <c r="E135" s="3" t="s">
        <v>87</v>
      </c>
      <c r="F135" s="4" t="s">
        <v>15</v>
      </c>
      <c r="G135" s="4" t="s">
        <v>15</v>
      </c>
      <c r="H135" s="5" t="n">
        <f aca="false">IFERROR(INDEX(Ksat_Lookup!$B$9:$B$18,MATCH(F135,Ksat_Lookup!$A$9:$A$18,0)),"")</f>
        <v>-12.5</v>
      </c>
      <c r="I135" s="6" t="n">
        <f aca="false">IF(H135="","",10^H135*Ksat_Lookup!$B$5)</f>
        <v>3.10219438462518E-006</v>
      </c>
      <c r="J135" s="6" t="n">
        <f aca="false">IF(I135="","",I135*Ksat_Lookup!$B$6)</f>
        <v>0.268029594831616</v>
      </c>
      <c r="K135" s="4"/>
      <c r="L135" s="6"/>
    </row>
    <row r="136" customFormat="false" ht="15" hidden="false" customHeight="false" outlineLevel="0" collapsed="false">
      <c r="A136" s="3" t="n">
        <v>135</v>
      </c>
      <c r="B136" s="3" t="s">
        <v>196</v>
      </c>
      <c r="C136" s="3" t="s">
        <v>50</v>
      </c>
      <c r="D136" s="3" t="s">
        <v>54</v>
      </c>
      <c r="E136" s="3" t="s">
        <v>54</v>
      </c>
      <c r="F136" s="4" t="s">
        <v>51</v>
      </c>
      <c r="G136" s="4" t="s">
        <v>52</v>
      </c>
      <c r="H136" s="5" t="n">
        <f aca="false">IFERROR(INDEX(Ksat_Lookup!$B$9:$B$18,MATCH(F136,Ksat_Lookup!$A$9:$A$18,0)),"")</f>
        <v>-14.1</v>
      </c>
      <c r="I136" s="6" t="n">
        <f aca="false">IF(H136="","",10^H136*Ksat_Lookup!$B$5)</f>
        <v>7.79235998264521E-008</v>
      </c>
      <c r="J136" s="6" t="n">
        <f aca="false">IF(I136="","",I136*Ksat_Lookup!$B$6)</f>
        <v>0.00673259902500546</v>
      </c>
      <c r="K136" s="4"/>
      <c r="L136" s="6"/>
    </row>
    <row r="137" customFormat="false" ht="15" hidden="false" customHeight="false" outlineLevel="0" collapsed="false">
      <c r="A137" s="3" t="n">
        <v>136</v>
      </c>
      <c r="B137" s="3" t="s">
        <v>197</v>
      </c>
      <c r="C137" s="3" t="s">
        <v>13</v>
      </c>
      <c r="D137" s="3" t="s">
        <v>39</v>
      </c>
      <c r="E137" s="3" t="s">
        <v>39</v>
      </c>
      <c r="F137" s="4" t="s">
        <v>15</v>
      </c>
      <c r="G137" s="4" t="s">
        <v>15</v>
      </c>
      <c r="H137" s="5" t="n">
        <f aca="false">IFERROR(INDEX(Ksat_Lookup!$B$9:$B$18,MATCH(F137,Ksat_Lookup!$A$9:$A$18,0)),"")</f>
        <v>-12.5</v>
      </c>
      <c r="I137" s="6" t="n">
        <f aca="false">IF(H137="","",10^H137*Ksat_Lookup!$B$5)</f>
        <v>3.10219438462518E-006</v>
      </c>
      <c r="J137" s="6" t="n">
        <f aca="false">IF(I137="","",I137*Ksat_Lookup!$B$6)</f>
        <v>0.268029594831616</v>
      </c>
      <c r="K137" s="4"/>
      <c r="L137" s="6"/>
    </row>
    <row r="138" customFormat="false" ht="15" hidden="false" customHeight="false" outlineLevel="0" collapsed="false">
      <c r="A138" s="3" t="n">
        <v>137</v>
      </c>
      <c r="B138" s="3" t="s">
        <v>198</v>
      </c>
      <c r="C138" s="3" t="s">
        <v>19</v>
      </c>
      <c r="D138" s="3" t="s">
        <v>66</v>
      </c>
      <c r="E138" s="3" t="s">
        <v>108</v>
      </c>
      <c r="F138" s="4" t="s">
        <v>22</v>
      </c>
      <c r="G138" s="4" t="s">
        <v>23</v>
      </c>
      <c r="H138" s="5" t="n">
        <f aca="false">IFERROR(INDEX(Ksat_Lookup!$B$9:$B$18,MATCH(F138,Ksat_Lookup!$A$9:$A$18,0)),"")</f>
        <v>-15.2</v>
      </c>
      <c r="I138" s="6" t="n">
        <f aca="false">IF(H138="","",10^H138*Ksat_Lookup!$B$5)</f>
        <v>6.18969154935071E-009</v>
      </c>
      <c r="J138" s="6" t="n">
        <f aca="false">IF(I138="","",I138*Ksat_Lookup!$B$6)</f>
        <v>0.000534789349863901</v>
      </c>
      <c r="K138" s="4"/>
      <c r="L138" s="6"/>
    </row>
    <row r="139" customFormat="false" ht="15" hidden="false" customHeight="false" outlineLevel="0" collapsed="false">
      <c r="A139" s="3" t="n">
        <v>138</v>
      </c>
      <c r="B139" s="3" t="s">
        <v>199</v>
      </c>
      <c r="C139" s="3" t="s">
        <v>19</v>
      </c>
      <c r="D139" s="3" t="s">
        <v>200</v>
      </c>
      <c r="E139" s="3" t="s">
        <v>66</v>
      </c>
      <c r="F139" s="4" t="s">
        <v>22</v>
      </c>
      <c r="G139" s="4" t="s">
        <v>23</v>
      </c>
      <c r="H139" s="5" t="n">
        <f aca="false">IFERROR(INDEX(Ksat_Lookup!$B$9:$B$18,MATCH(F139,Ksat_Lookup!$A$9:$A$18,0)),"")</f>
        <v>-15.2</v>
      </c>
      <c r="I139" s="6" t="n">
        <f aca="false">IF(H139="","",10^H139*Ksat_Lookup!$B$5)</f>
        <v>6.18969154935071E-009</v>
      </c>
      <c r="J139" s="6" t="n">
        <f aca="false">IF(I139="","",I139*Ksat_Lookup!$B$6)</f>
        <v>0.000534789349863901</v>
      </c>
      <c r="K139" s="4"/>
      <c r="L139" s="6"/>
    </row>
    <row r="140" customFormat="false" ht="15" hidden="false" customHeight="false" outlineLevel="0" collapsed="false">
      <c r="A140" s="3" t="n">
        <v>139</v>
      </c>
      <c r="B140" s="3" t="s">
        <v>201</v>
      </c>
      <c r="C140" s="3" t="s">
        <v>151</v>
      </c>
      <c r="D140" s="3" t="s">
        <v>202</v>
      </c>
      <c r="E140" s="3" t="s">
        <v>202</v>
      </c>
      <c r="F140" s="4" t="s">
        <v>51</v>
      </c>
      <c r="G140" s="4" t="s">
        <v>153</v>
      </c>
      <c r="H140" s="5" t="n">
        <f aca="false">IFERROR(INDEX(Ksat_Lookup!$B$9:$B$18,MATCH(F140,Ksat_Lookup!$A$9:$A$18,0)),"")</f>
        <v>-14.1</v>
      </c>
      <c r="I140" s="6" t="n">
        <f aca="false">IF(H140="","",10^H140*Ksat_Lookup!$B$5)</f>
        <v>7.79235998264521E-008</v>
      </c>
      <c r="J140" s="6" t="n">
        <f aca="false">IF(I140="","",I140*Ksat_Lookup!$B$6)</f>
        <v>0.00673259902500546</v>
      </c>
      <c r="K140" s="4"/>
      <c r="L140" s="6"/>
    </row>
    <row r="141" customFormat="false" ht="15" hidden="false" customHeight="false" outlineLevel="0" collapsed="false">
      <c r="A141" s="3" t="n">
        <v>140</v>
      </c>
      <c r="B141" s="3" t="s">
        <v>203</v>
      </c>
      <c r="C141" s="3" t="s">
        <v>19</v>
      </c>
      <c r="D141" s="3" t="s">
        <v>41</v>
      </c>
      <c r="E141" s="3" t="s">
        <v>108</v>
      </c>
      <c r="F141" s="4" t="s">
        <v>22</v>
      </c>
      <c r="G141" s="4" t="s">
        <v>23</v>
      </c>
      <c r="H141" s="5" t="n">
        <f aca="false">IFERROR(INDEX(Ksat_Lookup!$B$9:$B$18,MATCH(F141,Ksat_Lookup!$A$9:$A$18,0)),"")</f>
        <v>-15.2</v>
      </c>
      <c r="I141" s="6" t="n">
        <f aca="false">IF(H141="","",10^H141*Ksat_Lookup!$B$5)</f>
        <v>6.18969154935071E-009</v>
      </c>
      <c r="J141" s="6" t="n">
        <f aca="false">IF(I141="","",I141*Ksat_Lookup!$B$6)</f>
        <v>0.000534789349863901</v>
      </c>
      <c r="K141" s="4"/>
      <c r="L141" s="6"/>
    </row>
    <row r="142" customFormat="false" ht="15" hidden="false" customHeight="false" outlineLevel="0" collapsed="false">
      <c r="A142" s="3" t="n">
        <v>141</v>
      </c>
      <c r="B142" s="3" t="s">
        <v>204</v>
      </c>
      <c r="C142" s="3" t="s">
        <v>19</v>
      </c>
      <c r="D142" s="3" t="s">
        <v>108</v>
      </c>
      <c r="E142" s="3" t="s">
        <v>29</v>
      </c>
      <c r="F142" s="4" t="s">
        <v>22</v>
      </c>
      <c r="G142" s="4" t="s">
        <v>23</v>
      </c>
      <c r="H142" s="5" t="n">
        <f aca="false">IFERROR(INDEX(Ksat_Lookup!$B$9:$B$18,MATCH(F142,Ksat_Lookup!$A$9:$A$18,0)),"")</f>
        <v>-15.2</v>
      </c>
      <c r="I142" s="6" t="n">
        <f aca="false">IF(H142="","",10^H142*Ksat_Lookup!$B$5)</f>
        <v>6.18969154935071E-009</v>
      </c>
      <c r="J142" s="6" t="n">
        <f aca="false">IF(I142="","",I142*Ksat_Lookup!$B$6)</f>
        <v>0.000534789349863901</v>
      </c>
      <c r="K142" s="4"/>
      <c r="L142" s="6"/>
    </row>
    <row r="143" customFormat="false" ht="15" hidden="false" customHeight="false" outlineLevel="0" collapsed="false">
      <c r="A143" s="3" t="n">
        <v>142</v>
      </c>
      <c r="B143" s="3" t="s">
        <v>205</v>
      </c>
      <c r="C143" s="3" t="s">
        <v>13</v>
      </c>
      <c r="D143" s="3" t="s">
        <v>64</v>
      </c>
      <c r="E143" s="3" t="s">
        <v>37</v>
      </c>
      <c r="F143" s="4" t="s">
        <v>15</v>
      </c>
      <c r="G143" s="4" t="s">
        <v>15</v>
      </c>
      <c r="H143" s="5" t="n">
        <f aca="false">IFERROR(INDEX(Ksat_Lookup!$B$9:$B$18,MATCH(F143,Ksat_Lookup!$A$9:$A$18,0)),"")</f>
        <v>-12.5</v>
      </c>
      <c r="I143" s="6" t="n">
        <f aca="false">IF(H143="","",10^H143*Ksat_Lookup!$B$5)</f>
        <v>3.10219438462518E-006</v>
      </c>
      <c r="J143" s="6" t="n">
        <f aca="false">IF(I143="","",I143*Ksat_Lookup!$B$6)</f>
        <v>0.268029594831616</v>
      </c>
      <c r="K143" s="4"/>
      <c r="L143" s="6"/>
    </row>
    <row r="144" customFormat="false" ht="15" hidden="false" customHeight="false" outlineLevel="0" collapsed="false">
      <c r="A144" s="3" t="n">
        <v>143</v>
      </c>
      <c r="B144" s="3" t="s">
        <v>206</v>
      </c>
      <c r="C144" s="3" t="s">
        <v>19</v>
      </c>
      <c r="D144" s="3" t="s">
        <v>21</v>
      </c>
      <c r="E144" s="3" t="s">
        <v>137</v>
      </c>
      <c r="F144" s="4" t="s">
        <v>22</v>
      </c>
      <c r="G144" s="4" t="s">
        <v>23</v>
      </c>
      <c r="H144" s="5" t="n">
        <f aca="false">IFERROR(INDEX(Ksat_Lookup!$B$9:$B$18,MATCH(F144,Ksat_Lookup!$A$9:$A$18,0)),"")</f>
        <v>-15.2</v>
      </c>
      <c r="I144" s="6" t="n">
        <f aca="false">IF(H144="","",10^H144*Ksat_Lookup!$B$5)</f>
        <v>6.18969154935071E-009</v>
      </c>
      <c r="J144" s="6" t="n">
        <f aca="false">IF(I144="","",I144*Ksat_Lookup!$B$6)</f>
        <v>0.000534789349863901</v>
      </c>
      <c r="K144" s="4"/>
      <c r="L144" s="6"/>
    </row>
    <row r="145" customFormat="false" ht="15" hidden="false" customHeight="false" outlineLevel="0" collapsed="false">
      <c r="A145" s="3" t="n">
        <v>144</v>
      </c>
      <c r="B145" s="3" t="s">
        <v>207</v>
      </c>
      <c r="C145" s="3" t="s">
        <v>151</v>
      </c>
      <c r="D145" s="3" t="s">
        <v>208</v>
      </c>
      <c r="E145" s="3" t="s">
        <v>208</v>
      </c>
      <c r="F145" s="4" t="s">
        <v>51</v>
      </c>
      <c r="G145" s="4" t="s">
        <v>153</v>
      </c>
      <c r="H145" s="5" t="n">
        <f aca="false">IFERROR(INDEX(Ksat_Lookup!$B$9:$B$18,MATCH(F145,Ksat_Lookup!$A$9:$A$18,0)),"")</f>
        <v>-14.1</v>
      </c>
      <c r="I145" s="6" t="n">
        <f aca="false">IF(H145="","",10^H145*Ksat_Lookup!$B$5)</f>
        <v>7.79235998264521E-008</v>
      </c>
      <c r="J145" s="6" t="n">
        <f aca="false">IF(I145="","",I145*Ksat_Lookup!$B$6)</f>
        <v>0.00673259902500546</v>
      </c>
      <c r="K145" s="4"/>
      <c r="L145" s="6"/>
    </row>
    <row r="146" customFormat="false" ht="15" hidden="false" customHeight="false" outlineLevel="0" collapsed="false">
      <c r="A146" s="3" t="n">
        <v>145</v>
      </c>
      <c r="B146" s="3" t="s">
        <v>209</v>
      </c>
      <c r="C146" s="3" t="s">
        <v>19</v>
      </c>
      <c r="D146" s="3" t="s">
        <v>137</v>
      </c>
      <c r="E146" s="3" t="s">
        <v>28</v>
      </c>
      <c r="F146" s="4" t="s">
        <v>22</v>
      </c>
      <c r="G146" s="4" t="s">
        <v>23</v>
      </c>
      <c r="H146" s="5" t="n">
        <f aca="false">IFERROR(INDEX(Ksat_Lookup!$B$9:$B$18,MATCH(F146,Ksat_Lookup!$A$9:$A$18,0)),"")</f>
        <v>-15.2</v>
      </c>
      <c r="I146" s="6" t="n">
        <f aca="false">IF(H146="","",10^H146*Ksat_Lookup!$B$5)</f>
        <v>6.18969154935071E-009</v>
      </c>
      <c r="J146" s="6" t="n">
        <f aca="false">IF(I146="","",I146*Ksat_Lookup!$B$6)</f>
        <v>0.000534789349863901</v>
      </c>
      <c r="K146" s="4"/>
      <c r="L146" s="6"/>
    </row>
    <row r="147" customFormat="false" ht="15" hidden="false" customHeight="false" outlineLevel="0" collapsed="false">
      <c r="A147" s="3" t="n">
        <v>146</v>
      </c>
      <c r="B147" s="3" t="s">
        <v>210</v>
      </c>
      <c r="C147" s="3" t="s">
        <v>50</v>
      </c>
      <c r="D147" s="3" t="s">
        <v>37</v>
      </c>
      <c r="E147" s="3" t="s">
        <v>37</v>
      </c>
      <c r="F147" s="4" t="s">
        <v>51</v>
      </c>
      <c r="G147" s="4" t="s">
        <v>52</v>
      </c>
      <c r="H147" s="5" t="n">
        <f aca="false">IFERROR(INDEX(Ksat_Lookup!$B$9:$B$18,MATCH(F147,Ksat_Lookup!$A$9:$A$18,0)),"")</f>
        <v>-14.1</v>
      </c>
      <c r="I147" s="6" t="n">
        <f aca="false">IF(H147="","",10^H147*Ksat_Lookup!$B$5)</f>
        <v>7.79235998264521E-008</v>
      </c>
      <c r="J147" s="6" t="n">
        <f aca="false">IF(I147="","",I147*Ksat_Lookup!$B$6)</f>
        <v>0.00673259902500546</v>
      </c>
      <c r="K147" s="4"/>
      <c r="L147" s="6"/>
    </row>
    <row r="148" customFormat="false" ht="15" hidden="false" customHeight="false" outlineLevel="0" collapsed="false">
      <c r="A148" s="3" t="n">
        <v>147</v>
      </c>
      <c r="B148" s="3" t="s">
        <v>211</v>
      </c>
      <c r="C148" s="3" t="s">
        <v>13</v>
      </c>
      <c r="D148" s="3" t="s">
        <v>37</v>
      </c>
      <c r="E148" s="3" t="s">
        <v>37</v>
      </c>
      <c r="F148" s="4" t="s">
        <v>15</v>
      </c>
      <c r="G148" s="4" t="s">
        <v>15</v>
      </c>
      <c r="H148" s="5" t="n">
        <f aca="false">IFERROR(INDEX(Ksat_Lookup!$B$9:$B$18,MATCH(F148,Ksat_Lookup!$A$9:$A$18,0)),"")</f>
        <v>-12.5</v>
      </c>
      <c r="I148" s="6" t="n">
        <f aca="false">IF(H148="","",10^H148*Ksat_Lookup!$B$5)</f>
        <v>3.10219438462518E-006</v>
      </c>
      <c r="J148" s="6" t="n">
        <f aca="false">IF(I148="","",I148*Ksat_Lookup!$B$6)</f>
        <v>0.268029594831616</v>
      </c>
      <c r="K148" s="4"/>
      <c r="L148" s="6"/>
    </row>
    <row r="149" customFormat="false" ht="15" hidden="false" customHeight="false" outlineLevel="0" collapsed="false">
      <c r="A149" s="3" t="n">
        <v>148</v>
      </c>
      <c r="B149" s="3" t="s">
        <v>212</v>
      </c>
      <c r="C149" s="3" t="s">
        <v>19</v>
      </c>
      <c r="D149" s="3" t="s">
        <v>33</v>
      </c>
      <c r="E149" s="3" t="s">
        <v>56</v>
      </c>
      <c r="F149" s="4" t="s">
        <v>22</v>
      </c>
      <c r="G149" s="4" t="s">
        <v>23</v>
      </c>
      <c r="H149" s="5" t="n">
        <f aca="false">IFERROR(INDEX(Ksat_Lookup!$B$9:$B$18,MATCH(F149,Ksat_Lookup!$A$9:$A$18,0)),"")</f>
        <v>-15.2</v>
      </c>
      <c r="I149" s="6" t="n">
        <f aca="false">IF(H149="","",10^H149*Ksat_Lookup!$B$5)</f>
        <v>6.18969154935071E-009</v>
      </c>
      <c r="J149" s="6" t="n">
        <f aca="false">IF(I149="","",I149*Ksat_Lookup!$B$6)</f>
        <v>0.000534789349863901</v>
      </c>
      <c r="K149" s="4"/>
      <c r="L149" s="6"/>
    </row>
    <row r="150" customFormat="false" ht="15" hidden="false" customHeight="false" outlineLevel="0" collapsed="false">
      <c r="A150" s="3" t="n">
        <v>149</v>
      </c>
      <c r="B150" s="3" t="s">
        <v>213</v>
      </c>
      <c r="C150" s="3" t="s">
        <v>50</v>
      </c>
      <c r="D150" s="3" t="s">
        <v>208</v>
      </c>
      <c r="E150" s="3" t="s">
        <v>208</v>
      </c>
      <c r="F150" s="4" t="s">
        <v>51</v>
      </c>
      <c r="G150" s="4" t="s">
        <v>52</v>
      </c>
      <c r="H150" s="5" t="n">
        <f aca="false">IFERROR(INDEX(Ksat_Lookup!$B$9:$B$18,MATCH(F150,Ksat_Lookup!$A$9:$A$18,0)),"")</f>
        <v>-14.1</v>
      </c>
      <c r="I150" s="6" t="n">
        <f aca="false">IF(H150="","",10^H150*Ksat_Lookup!$B$5)</f>
        <v>7.79235998264521E-008</v>
      </c>
      <c r="J150" s="6" t="n">
        <f aca="false">IF(I150="","",I150*Ksat_Lookup!$B$6)</f>
        <v>0.00673259902500546</v>
      </c>
      <c r="K150" s="4"/>
      <c r="L150" s="6"/>
    </row>
    <row r="151" customFormat="false" ht="15" hidden="false" customHeight="false" outlineLevel="0" collapsed="false">
      <c r="A151" s="3" t="n">
        <v>150</v>
      </c>
      <c r="B151" s="3" t="s">
        <v>214</v>
      </c>
      <c r="C151" s="3" t="s">
        <v>19</v>
      </c>
      <c r="D151" s="3" t="s">
        <v>31</v>
      </c>
      <c r="E151" s="3" t="s">
        <v>31</v>
      </c>
      <c r="F151" s="4" t="s">
        <v>22</v>
      </c>
      <c r="G151" s="4" t="s">
        <v>23</v>
      </c>
      <c r="H151" s="5" t="n">
        <f aca="false">IFERROR(INDEX(Ksat_Lookup!$B$9:$B$18,MATCH(F151,Ksat_Lookup!$A$9:$A$18,0)),"")</f>
        <v>-15.2</v>
      </c>
      <c r="I151" s="6" t="n">
        <f aca="false">IF(H151="","",10^H151*Ksat_Lookup!$B$5)</f>
        <v>6.18969154935071E-009</v>
      </c>
      <c r="J151" s="6" t="n">
        <f aca="false">IF(I151="","",I151*Ksat_Lookup!$B$6)</f>
        <v>0.000534789349863901</v>
      </c>
      <c r="K151" s="4"/>
      <c r="L151" s="6"/>
    </row>
    <row r="152" customFormat="false" ht="15" hidden="false" customHeight="false" outlineLevel="0" collapsed="false">
      <c r="A152" s="3" t="n">
        <v>151</v>
      </c>
      <c r="B152" s="3" t="s">
        <v>215</v>
      </c>
      <c r="C152" s="3" t="s">
        <v>13</v>
      </c>
      <c r="D152" s="3" t="s">
        <v>37</v>
      </c>
      <c r="E152" s="3" t="s">
        <v>37</v>
      </c>
      <c r="F152" s="4" t="s">
        <v>15</v>
      </c>
      <c r="G152" s="4" t="s">
        <v>15</v>
      </c>
      <c r="H152" s="5" t="n">
        <f aca="false">IFERROR(INDEX(Ksat_Lookup!$B$9:$B$18,MATCH(F152,Ksat_Lookup!$A$9:$A$18,0)),"")</f>
        <v>-12.5</v>
      </c>
      <c r="I152" s="6" t="n">
        <f aca="false">IF(H152="","",10^H152*Ksat_Lookup!$B$5)</f>
        <v>3.10219438462518E-006</v>
      </c>
      <c r="J152" s="6" t="n">
        <f aca="false">IF(I152="","",I152*Ksat_Lookup!$B$6)</f>
        <v>0.268029594831616</v>
      </c>
      <c r="K152" s="4"/>
      <c r="L152" s="6"/>
    </row>
    <row r="153" customFormat="false" ht="15" hidden="false" customHeight="false" outlineLevel="0" collapsed="false">
      <c r="A153" s="3" t="n">
        <v>152</v>
      </c>
      <c r="B153" s="3" t="s">
        <v>216</v>
      </c>
      <c r="C153" s="3" t="s">
        <v>13</v>
      </c>
      <c r="D153" s="3" t="s">
        <v>17</v>
      </c>
      <c r="E153" s="3" t="s">
        <v>39</v>
      </c>
      <c r="F153" s="4" t="s">
        <v>15</v>
      </c>
      <c r="G153" s="4" t="s">
        <v>15</v>
      </c>
      <c r="H153" s="5" t="n">
        <f aca="false">IFERROR(INDEX(Ksat_Lookup!$B$9:$B$18,MATCH(F153,Ksat_Lookup!$A$9:$A$18,0)),"")</f>
        <v>-12.5</v>
      </c>
      <c r="I153" s="6" t="n">
        <f aca="false">IF(H153="","",10^H153*Ksat_Lookup!$B$5)</f>
        <v>3.10219438462518E-006</v>
      </c>
      <c r="J153" s="6" t="n">
        <f aca="false">IF(I153="","",I153*Ksat_Lookup!$B$6)</f>
        <v>0.268029594831616</v>
      </c>
      <c r="K153" s="4"/>
      <c r="L153" s="6"/>
    </row>
    <row r="154" customFormat="false" ht="15" hidden="false" customHeight="false" outlineLevel="0" collapsed="false">
      <c r="A154" s="3" t="n">
        <v>153</v>
      </c>
      <c r="B154" s="3" t="s">
        <v>217</v>
      </c>
      <c r="C154" s="3" t="s">
        <v>50</v>
      </c>
      <c r="D154" s="3" t="s">
        <v>193</v>
      </c>
      <c r="E154" s="3" t="s">
        <v>208</v>
      </c>
      <c r="F154" s="4" t="s">
        <v>51</v>
      </c>
      <c r="G154" s="4" t="s">
        <v>52</v>
      </c>
      <c r="H154" s="5" t="n">
        <f aca="false">IFERROR(INDEX(Ksat_Lookup!$B$9:$B$18,MATCH(F154,Ksat_Lookup!$A$9:$A$18,0)),"")</f>
        <v>-14.1</v>
      </c>
      <c r="I154" s="6" t="n">
        <f aca="false">IF(H154="","",10^H154*Ksat_Lookup!$B$5)</f>
        <v>7.79235998264521E-008</v>
      </c>
      <c r="J154" s="6" t="n">
        <f aca="false">IF(I154="","",I154*Ksat_Lookup!$B$6)</f>
        <v>0.00673259902500546</v>
      </c>
      <c r="K154" s="4"/>
      <c r="L154" s="6"/>
    </row>
    <row r="155" customFormat="false" ht="15" hidden="false" customHeight="false" outlineLevel="0" collapsed="false">
      <c r="A155" s="3" t="n">
        <v>154</v>
      </c>
      <c r="B155" s="3" t="s">
        <v>218</v>
      </c>
      <c r="C155" s="3" t="s">
        <v>151</v>
      </c>
      <c r="D155" s="3" t="s">
        <v>219</v>
      </c>
      <c r="E155" s="3" t="s">
        <v>219</v>
      </c>
      <c r="F155" s="4" t="s">
        <v>51</v>
      </c>
      <c r="G155" s="4" t="s">
        <v>153</v>
      </c>
      <c r="H155" s="5" t="n">
        <f aca="false">IFERROR(INDEX(Ksat_Lookup!$B$9:$B$18,MATCH(F155,Ksat_Lookup!$A$9:$A$18,0)),"")</f>
        <v>-14.1</v>
      </c>
      <c r="I155" s="6" t="n">
        <f aca="false">IF(H155="","",10^H155*Ksat_Lookup!$B$5)</f>
        <v>7.79235998264521E-008</v>
      </c>
      <c r="J155" s="6" t="n">
        <f aca="false">IF(I155="","",I155*Ksat_Lookup!$B$6)</f>
        <v>0.00673259902500546</v>
      </c>
      <c r="K155" s="4"/>
      <c r="L155" s="6"/>
    </row>
    <row r="156" customFormat="false" ht="15" hidden="false" customHeight="false" outlineLevel="0" collapsed="false">
      <c r="A156" s="3" t="n">
        <v>155</v>
      </c>
      <c r="B156" s="3" t="s">
        <v>220</v>
      </c>
      <c r="C156" s="3" t="s">
        <v>19</v>
      </c>
      <c r="D156" s="3" t="s">
        <v>21</v>
      </c>
      <c r="E156" s="3" t="s">
        <v>21</v>
      </c>
      <c r="F156" s="4" t="s">
        <v>22</v>
      </c>
      <c r="G156" s="4" t="s">
        <v>23</v>
      </c>
      <c r="H156" s="5" t="n">
        <f aca="false">IFERROR(INDEX(Ksat_Lookup!$B$9:$B$18,MATCH(F156,Ksat_Lookup!$A$9:$A$18,0)),"")</f>
        <v>-15.2</v>
      </c>
      <c r="I156" s="6" t="n">
        <f aca="false">IF(H156="","",10^H156*Ksat_Lookup!$B$5)</f>
        <v>6.18969154935071E-009</v>
      </c>
      <c r="J156" s="6" t="n">
        <f aca="false">IF(I156="","",I156*Ksat_Lookup!$B$6)</f>
        <v>0.000534789349863901</v>
      </c>
      <c r="K156" s="4"/>
      <c r="L156" s="6"/>
    </row>
    <row r="157" customFormat="false" ht="15" hidden="false" customHeight="false" outlineLevel="0" collapsed="false">
      <c r="A157" s="3" t="n">
        <v>156</v>
      </c>
      <c r="B157" s="3" t="s">
        <v>221</v>
      </c>
      <c r="C157" s="3" t="s">
        <v>13</v>
      </c>
      <c r="D157" s="3" t="s">
        <v>31</v>
      </c>
      <c r="E157" s="3" t="s">
        <v>31</v>
      </c>
      <c r="F157" s="4" t="s">
        <v>15</v>
      </c>
      <c r="G157" s="4" t="s">
        <v>15</v>
      </c>
      <c r="H157" s="5" t="n">
        <f aca="false">IFERROR(INDEX(Ksat_Lookup!$B$9:$B$18,MATCH(F157,Ksat_Lookup!$A$9:$A$18,0)),"")</f>
        <v>-12.5</v>
      </c>
      <c r="I157" s="6" t="n">
        <f aca="false">IF(H157="","",10^H157*Ksat_Lookup!$B$5)</f>
        <v>3.10219438462518E-006</v>
      </c>
      <c r="J157" s="6" t="n">
        <f aca="false">IF(I157="","",I157*Ksat_Lookup!$B$6)</f>
        <v>0.268029594831616</v>
      </c>
      <c r="K157" s="4"/>
      <c r="L157" s="6"/>
    </row>
    <row r="158" customFormat="false" ht="15" hidden="false" customHeight="false" outlineLevel="0" collapsed="false">
      <c r="A158" s="3" t="n">
        <v>157</v>
      </c>
      <c r="B158" s="3" t="s">
        <v>222</v>
      </c>
      <c r="C158" s="3" t="s">
        <v>19</v>
      </c>
      <c r="D158" s="3" t="s">
        <v>21</v>
      </c>
      <c r="E158" s="3" t="s">
        <v>114</v>
      </c>
      <c r="F158" s="4" t="s">
        <v>22</v>
      </c>
      <c r="G158" s="4" t="s">
        <v>23</v>
      </c>
      <c r="H158" s="5" t="n">
        <f aca="false">IFERROR(INDEX(Ksat_Lookup!$B$9:$B$18,MATCH(F158,Ksat_Lookup!$A$9:$A$18,0)),"")</f>
        <v>-15.2</v>
      </c>
      <c r="I158" s="6" t="n">
        <f aca="false">IF(H158="","",10^H158*Ksat_Lookup!$B$5)</f>
        <v>6.18969154935071E-009</v>
      </c>
      <c r="J158" s="6" t="n">
        <f aca="false">IF(I158="","",I158*Ksat_Lookup!$B$6)</f>
        <v>0.000534789349863901</v>
      </c>
      <c r="K158" s="4"/>
      <c r="L158" s="6"/>
    </row>
    <row r="159" customFormat="false" ht="15" hidden="false" customHeight="false" outlineLevel="0" collapsed="false">
      <c r="A159" s="3" t="n">
        <v>158</v>
      </c>
      <c r="B159" s="3" t="s">
        <v>223</v>
      </c>
      <c r="C159" s="3" t="s">
        <v>13</v>
      </c>
      <c r="D159" s="3" t="s">
        <v>87</v>
      </c>
      <c r="E159" s="3" t="s">
        <v>87</v>
      </c>
      <c r="F159" s="4" t="s">
        <v>15</v>
      </c>
      <c r="G159" s="4" t="s">
        <v>15</v>
      </c>
      <c r="H159" s="5" t="n">
        <f aca="false">IFERROR(INDEX(Ksat_Lookup!$B$9:$B$18,MATCH(F159,Ksat_Lookup!$A$9:$A$18,0)),"")</f>
        <v>-12.5</v>
      </c>
      <c r="I159" s="6" t="n">
        <f aca="false">IF(H159="","",10^H159*Ksat_Lookup!$B$5)</f>
        <v>3.10219438462518E-006</v>
      </c>
      <c r="J159" s="6" t="n">
        <f aca="false">IF(I159="","",I159*Ksat_Lookup!$B$6)</f>
        <v>0.268029594831616</v>
      </c>
      <c r="K159" s="4"/>
      <c r="L159" s="6"/>
    </row>
    <row r="160" customFormat="false" ht="15" hidden="false" customHeight="false" outlineLevel="0" collapsed="false">
      <c r="A160" s="3" t="n">
        <v>159</v>
      </c>
      <c r="B160" s="3" t="s">
        <v>224</v>
      </c>
      <c r="C160" s="3" t="s">
        <v>50</v>
      </c>
      <c r="D160" s="3" t="s">
        <v>193</v>
      </c>
      <c r="E160" s="3" t="s">
        <v>193</v>
      </c>
      <c r="F160" s="4" t="s">
        <v>51</v>
      </c>
      <c r="G160" s="4" t="s">
        <v>52</v>
      </c>
      <c r="H160" s="5" t="n">
        <f aca="false">IFERROR(INDEX(Ksat_Lookup!$B$9:$B$18,MATCH(F160,Ksat_Lookup!$A$9:$A$18,0)),"")</f>
        <v>-14.1</v>
      </c>
      <c r="I160" s="6" t="n">
        <f aca="false">IF(H160="","",10^H160*Ksat_Lookup!$B$5)</f>
        <v>7.79235998264521E-008</v>
      </c>
      <c r="J160" s="6" t="n">
        <f aca="false">IF(I160="","",I160*Ksat_Lookup!$B$6)</f>
        <v>0.00673259902500546</v>
      </c>
      <c r="K160" s="4"/>
      <c r="L160" s="6"/>
    </row>
    <row r="161" customFormat="false" ht="15" hidden="false" customHeight="false" outlineLevel="0" collapsed="false">
      <c r="A161" s="3" t="n">
        <v>160</v>
      </c>
      <c r="B161" s="3" t="s">
        <v>225</v>
      </c>
      <c r="C161" s="3" t="s">
        <v>13</v>
      </c>
      <c r="D161" s="3" t="s">
        <v>14</v>
      </c>
      <c r="E161" s="3" t="s">
        <v>14</v>
      </c>
      <c r="F161" s="4" t="s">
        <v>15</v>
      </c>
      <c r="G161" s="4" t="s">
        <v>15</v>
      </c>
      <c r="H161" s="5" t="n">
        <f aca="false">IFERROR(INDEX(Ksat_Lookup!$B$9:$B$18,MATCH(F161,Ksat_Lookup!$A$9:$A$18,0)),"")</f>
        <v>-12.5</v>
      </c>
      <c r="I161" s="6" t="n">
        <f aca="false">IF(H161="","",10^H161*Ksat_Lookup!$B$5)</f>
        <v>3.10219438462518E-006</v>
      </c>
      <c r="J161" s="6" t="n">
        <f aca="false">IF(I161="","",I161*Ksat_Lookup!$B$6)</f>
        <v>0.268029594831616</v>
      </c>
      <c r="K161" s="4"/>
      <c r="L161" s="6"/>
    </row>
    <row r="162" customFormat="false" ht="15" hidden="false" customHeight="false" outlineLevel="0" collapsed="false">
      <c r="A162" s="3" t="n">
        <v>161</v>
      </c>
      <c r="B162" s="3" t="s">
        <v>226</v>
      </c>
      <c r="C162" s="3" t="s">
        <v>50</v>
      </c>
      <c r="D162" s="3" t="s">
        <v>37</v>
      </c>
      <c r="E162" s="3" t="s">
        <v>37</v>
      </c>
      <c r="F162" s="4" t="s">
        <v>51</v>
      </c>
      <c r="G162" s="4" t="s">
        <v>52</v>
      </c>
      <c r="H162" s="5" t="n">
        <f aca="false">IFERROR(INDEX(Ksat_Lookup!$B$9:$B$18,MATCH(F162,Ksat_Lookup!$A$9:$A$18,0)),"")</f>
        <v>-14.1</v>
      </c>
      <c r="I162" s="6" t="n">
        <f aca="false">IF(H162="","",10^H162*Ksat_Lookup!$B$5)</f>
        <v>7.79235998264521E-008</v>
      </c>
      <c r="J162" s="6" t="n">
        <f aca="false">IF(I162="","",I162*Ksat_Lookup!$B$6)</f>
        <v>0.00673259902500546</v>
      </c>
      <c r="K162" s="4"/>
      <c r="L162" s="6"/>
    </row>
    <row r="163" customFormat="false" ht="15" hidden="false" customHeight="false" outlineLevel="0" collapsed="false">
      <c r="A163" s="3" t="n">
        <v>162</v>
      </c>
      <c r="B163" s="3" t="s">
        <v>227</v>
      </c>
      <c r="C163" s="3" t="s">
        <v>19</v>
      </c>
      <c r="D163" s="3" t="s">
        <v>228</v>
      </c>
      <c r="E163" s="3" t="s">
        <v>228</v>
      </c>
      <c r="F163" s="4" t="s">
        <v>22</v>
      </c>
      <c r="G163" s="4" t="s">
        <v>23</v>
      </c>
      <c r="H163" s="5" t="n">
        <f aca="false">IFERROR(INDEX(Ksat_Lookup!$B$9:$B$18,MATCH(F163,Ksat_Lookup!$A$9:$A$18,0)),"")</f>
        <v>-15.2</v>
      </c>
      <c r="I163" s="6" t="n">
        <f aca="false">IF(H163="","",10^H163*Ksat_Lookup!$B$5)</f>
        <v>6.18969154935071E-009</v>
      </c>
      <c r="J163" s="6" t="n">
        <f aca="false">IF(I163="","",I163*Ksat_Lookup!$B$6)</f>
        <v>0.000534789349863901</v>
      </c>
      <c r="K163" s="4"/>
      <c r="L163" s="6"/>
    </row>
    <row r="164" customFormat="false" ht="15" hidden="false" customHeight="false" outlineLevel="0" collapsed="false">
      <c r="A164" s="3" t="n">
        <v>163</v>
      </c>
      <c r="B164" s="3" t="s">
        <v>229</v>
      </c>
      <c r="C164" s="3" t="s">
        <v>50</v>
      </c>
      <c r="D164" s="3" t="s">
        <v>39</v>
      </c>
      <c r="E164" s="3" t="s">
        <v>39</v>
      </c>
      <c r="F164" s="4" t="s">
        <v>51</v>
      </c>
      <c r="G164" s="4" t="s">
        <v>52</v>
      </c>
      <c r="H164" s="5" t="n">
        <f aca="false">IFERROR(INDEX(Ksat_Lookup!$B$9:$B$18,MATCH(F164,Ksat_Lookup!$A$9:$A$18,0)),"")</f>
        <v>-14.1</v>
      </c>
      <c r="I164" s="6" t="n">
        <f aca="false">IF(H164="","",10^H164*Ksat_Lookup!$B$5)</f>
        <v>7.79235998264521E-008</v>
      </c>
      <c r="J164" s="6" t="n">
        <f aca="false">IF(I164="","",I164*Ksat_Lookup!$B$6)</f>
        <v>0.00673259902500546</v>
      </c>
      <c r="K164" s="4"/>
      <c r="L164" s="6"/>
    </row>
    <row r="165" customFormat="false" ht="15" hidden="false" customHeight="false" outlineLevel="0" collapsed="false">
      <c r="A165" s="3" t="n">
        <v>164</v>
      </c>
      <c r="B165" s="3" t="s">
        <v>230</v>
      </c>
      <c r="C165" s="3" t="s">
        <v>19</v>
      </c>
      <c r="D165" s="3" t="s">
        <v>137</v>
      </c>
      <c r="E165" s="3" t="s">
        <v>137</v>
      </c>
      <c r="F165" s="4" t="s">
        <v>22</v>
      </c>
      <c r="G165" s="4" t="s">
        <v>23</v>
      </c>
      <c r="H165" s="5" t="n">
        <f aca="false">IFERROR(INDEX(Ksat_Lookup!$B$9:$B$18,MATCH(F165,Ksat_Lookup!$A$9:$A$18,0)),"")</f>
        <v>-15.2</v>
      </c>
      <c r="I165" s="6" t="n">
        <f aca="false">IF(H165="","",10^H165*Ksat_Lookup!$B$5)</f>
        <v>6.18969154935071E-009</v>
      </c>
      <c r="J165" s="6" t="n">
        <f aca="false">IF(I165="","",I165*Ksat_Lookup!$B$6)</f>
        <v>0.000534789349863901</v>
      </c>
      <c r="K165" s="4"/>
      <c r="L165" s="6"/>
    </row>
    <row r="166" customFormat="false" ht="15" hidden="false" customHeight="false" outlineLevel="0" collapsed="false">
      <c r="A166" s="3" t="n">
        <v>165</v>
      </c>
      <c r="B166" s="3" t="s">
        <v>231</v>
      </c>
      <c r="C166" s="3" t="s">
        <v>13</v>
      </c>
      <c r="D166" s="3" t="s">
        <v>43</v>
      </c>
      <c r="E166" s="3" t="s">
        <v>43</v>
      </c>
      <c r="F166" s="4" t="s">
        <v>15</v>
      </c>
      <c r="G166" s="4" t="s">
        <v>15</v>
      </c>
      <c r="H166" s="5" t="n">
        <f aca="false">IFERROR(INDEX(Ksat_Lookup!$B$9:$B$18,MATCH(F166,Ksat_Lookup!$A$9:$A$18,0)),"")</f>
        <v>-12.5</v>
      </c>
      <c r="I166" s="6" t="n">
        <f aca="false">IF(H166="","",10^H166*Ksat_Lookup!$B$5)</f>
        <v>3.10219438462518E-006</v>
      </c>
      <c r="J166" s="6" t="n">
        <f aca="false">IF(I166="","",I166*Ksat_Lookup!$B$6)</f>
        <v>0.268029594831616</v>
      </c>
      <c r="K166" s="4"/>
      <c r="L166" s="6"/>
    </row>
    <row r="167" customFormat="false" ht="15" hidden="false" customHeight="false" outlineLevel="0" collapsed="false">
      <c r="A167" s="3" t="n">
        <v>166</v>
      </c>
      <c r="B167" s="3" t="s">
        <v>232</v>
      </c>
      <c r="C167" s="3" t="s">
        <v>19</v>
      </c>
      <c r="D167" s="3" t="s">
        <v>114</v>
      </c>
      <c r="E167" s="3" t="s">
        <v>114</v>
      </c>
      <c r="F167" s="4" t="s">
        <v>22</v>
      </c>
      <c r="G167" s="4" t="s">
        <v>23</v>
      </c>
      <c r="H167" s="5" t="n">
        <f aca="false">IFERROR(INDEX(Ksat_Lookup!$B$9:$B$18,MATCH(F167,Ksat_Lookup!$A$9:$A$18,0)),"")</f>
        <v>-15.2</v>
      </c>
      <c r="I167" s="6" t="n">
        <f aca="false">IF(H167="","",10^H167*Ksat_Lookup!$B$5)</f>
        <v>6.18969154935071E-009</v>
      </c>
      <c r="J167" s="6" t="n">
        <f aca="false">IF(I167="","",I167*Ksat_Lookup!$B$6)</f>
        <v>0.000534789349863901</v>
      </c>
      <c r="K167" s="4"/>
      <c r="L167" s="6"/>
    </row>
    <row r="168" customFormat="false" ht="15" hidden="false" customHeight="false" outlineLevel="0" collapsed="false">
      <c r="A168" s="3" t="n">
        <v>167</v>
      </c>
      <c r="B168" s="3" t="s">
        <v>233</v>
      </c>
      <c r="C168" s="3" t="s">
        <v>50</v>
      </c>
      <c r="D168" s="3" t="s">
        <v>163</v>
      </c>
      <c r="E168" s="3" t="s">
        <v>163</v>
      </c>
      <c r="F168" s="4" t="s">
        <v>51</v>
      </c>
      <c r="G168" s="4" t="s">
        <v>52</v>
      </c>
      <c r="H168" s="5" t="n">
        <f aca="false">IFERROR(INDEX(Ksat_Lookup!$B$9:$B$18,MATCH(F168,Ksat_Lookup!$A$9:$A$18,0)),"")</f>
        <v>-14.1</v>
      </c>
      <c r="I168" s="6" t="n">
        <f aca="false">IF(H168="","",10^H168*Ksat_Lookup!$B$5)</f>
        <v>7.79235998264521E-008</v>
      </c>
      <c r="J168" s="6" t="n">
        <f aca="false">IF(I168="","",I168*Ksat_Lookup!$B$6)</f>
        <v>0.00673259902500546</v>
      </c>
      <c r="K168" s="4"/>
      <c r="L168" s="6"/>
    </row>
    <row r="169" customFormat="false" ht="15" hidden="false" customHeight="false" outlineLevel="0" collapsed="false">
      <c r="A169" s="3" t="n">
        <v>168</v>
      </c>
      <c r="B169" s="3" t="s">
        <v>234</v>
      </c>
      <c r="C169" s="3" t="s">
        <v>19</v>
      </c>
      <c r="D169" s="3" t="s">
        <v>29</v>
      </c>
      <c r="E169" s="3" t="s">
        <v>193</v>
      </c>
      <c r="F169" s="4" t="s">
        <v>22</v>
      </c>
      <c r="G169" s="4" t="s">
        <v>23</v>
      </c>
      <c r="H169" s="5" t="n">
        <f aca="false">IFERROR(INDEX(Ksat_Lookup!$B$9:$B$18,MATCH(F169,Ksat_Lookup!$A$9:$A$18,0)),"")</f>
        <v>-15.2</v>
      </c>
      <c r="I169" s="6" t="n">
        <f aca="false">IF(H169="","",10^H169*Ksat_Lookup!$B$5)</f>
        <v>6.18969154935071E-009</v>
      </c>
      <c r="J169" s="6" t="n">
        <f aca="false">IF(I169="","",I169*Ksat_Lookup!$B$6)</f>
        <v>0.000534789349863901</v>
      </c>
      <c r="K169" s="4"/>
      <c r="L169" s="6"/>
    </row>
    <row r="170" customFormat="false" ht="15" hidden="false" customHeight="false" outlineLevel="0" collapsed="false">
      <c r="A170" s="3" t="n">
        <v>169</v>
      </c>
      <c r="B170" s="3" t="s">
        <v>235</v>
      </c>
      <c r="C170" s="3" t="s">
        <v>13</v>
      </c>
      <c r="D170" s="3" t="s">
        <v>64</v>
      </c>
      <c r="E170" s="3" t="s">
        <v>64</v>
      </c>
      <c r="F170" s="4" t="s">
        <v>15</v>
      </c>
      <c r="G170" s="4" t="s">
        <v>15</v>
      </c>
      <c r="H170" s="5" t="n">
        <f aca="false">IFERROR(INDEX(Ksat_Lookup!$B$9:$B$18,MATCH(F170,Ksat_Lookup!$A$9:$A$18,0)),"")</f>
        <v>-12.5</v>
      </c>
      <c r="I170" s="6" t="n">
        <f aca="false">IF(H170="","",10^H170*Ksat_Lookup!$B$5)</f>
        <v>3.10219438462518E-006</v>
      </c>
      <c r="J170" s="6" t="n">
        <f aca="false">IF(I170="","",I170*Ksat_Lookup!$B$6)</f>
        <v>0.268029594831616</v>
      </c>
      <c r="K170" s="4"/>
      <c r="L170" s="6"/>
    </row>
    <row r="171" customFormat="false" ht="15" hidden="false" customHeight="false" outlineLevel="0" collapsed="false">
      <c r="A171" s="3" t="n">
        <v>170</v>
      </c>
      <c r="B171" s="3" t="s">
        <v>236</v>
      </c>
      <c r="C171" s="3" t="s">
        <v>151</v>
      </c>
      <c r="D171" s="3" t="s">
        <v>237</v>
      </c>
      <c r="E171" s="3" t="s">
        <v>237</v>
      </c>
      <c r="F171" s="4" t="s">
        <v>51</v>
      </c>
      <c r="G171" s="4" t="s">
        <v>153</v>
      </c>
      <c r="H171" s="5" t="n">
        <f aca="false">IFERROR(INDEX(Ksat_Lookup!$B$9:$B$18,MATCH(F171,Ksat_Lookup!$A$9:$A$18,0)),"")</f>
        <v>-14.1</v>
      </c>
      <c r="I171" s="6" t="n">
        <f aca="false">IF(H171="","",10^H171*Ksat_Lookup!$B$5)</f>
        <v>7.79235998264521E-008</v>
      </c>
      <c r="J171" s="6" t="n">
        <f aca="false">IF(I171="","",I171*Ksat_Lookup!$B$6)</f>
        <v>0.00673259902500546</v>
      </c>
      <c r="K171" s="4"/>
      <c r="L171" s="6"/>
    </row>
    <row r="172" customFormat="false" ht="15" hidden="false" customHeight="false" outlineLevel="0" collapsed="false">
      <c r="A172" s="3" t="n">
        <v>171</v>
      </c>
      <c r="B172" s="3" t="s">
        <v>238</v>
      </c>
      <c r="C172" s="3" t="s">
        <v>50</v>
      </c>
      <c r="D172" s="3" t="s">
        <v>219</v>
      </c>
      <c r="E172" s="3" t="s">
        <v>219</v>
      </c>
      <c r="F172" s="4" t="s">
        <v>51</v>
      </c>
      <c r="G172" s="4" t="s">
        <v>52</v>
      </c>
      <c r="H172" s="5" t="n">
        <f aca="false">IFERROR(INDEX(Ksat_Lookup!$B$9:$B$18,MATCH(F172,Ksat_Lookup!$A$9:$A$18,0)),"")</f>
        <v>-14.1</v>
      </c>
      <c r="I172" s="6" t="n">
        <f aca="false">IF(H172="","",10^H172*Ksat_Lookup!$B$5)</f>
        <v>7.79235998264521E-008</v>
      </c>
      <c r="J172" s="6" t="n">
        <f aca="false">IF(I172="","",I172*Ksat_Lookup!$B$6)</f>
        <v>0.00673259902500546</v>
      </c>
      <c r="K172" s="4"/>
      <c r="L172" s="6"/>
    </row>
    <row r="173" customFormat="false" ht="15" hidden="false" customHeight="false" outlineLevel="0" collapsed="false">
      <c r="A173" s="3" t="n">
        <v>172</v>
      </c>
      <c r="B173" s="3" t="s">
        <v>239</v>
      </c>
      <c r="C173" s="3" t="s">
        <v>50</v>
      </c>
      <c r="D173" s="3" t="s">
        <v>237</v>
      </c>
      <c r="E173" s="3" t="s">
        <v>237</v>
      </c>
      <c r="F173" s="4" t="s">
        <v>51</v>
      </c>
      <c r="G173" s="4" t="s">
        <v>52</v>
      </c>
      <c r="H173" s="5" t="n">
        <f aca="false">IFERROR(INDEX(Ksat_Lookup!$B$9:$B$18,MATCH(F173,Ksat_Lookup!$A$9:$A$18,0)),"")</f>
        <v>-14.1</v>
      </c>
      <c r="I173" s="6" t="n">
        <f aca="false">IF(H173="","",10^H173*Ksat_Lookup!$B$5)</f>
        <v>7.79235998264521E-008</v>
      </c>
      <c r="J173" s="6" t="n">
        <f aca="false">IF(I173="","",I173*Ksat_Lookup!$B$6)</f>
        <v>0.00673259902500546</v>
      </c>
      <c r="K173" s="4"/>
      <c r="L173" s="6"/>
    </row>
    <row r="174" customFormat="false" ht="15" hidden="false" customHeight="false" outlineLevel="0" collapsed="false">
      <c r="A174" s="3" t="n">
        <v>173</v>
      </c>
      <c r="B174" s="3" t="s">
        <v>240</v>
      </c>
      <c r="C174" s="3" t="s">
        <v>13</v>
      </c>
      <c r="D174" s="3" t="s">
        <v>43</v>
      </c>
      <c r="E174" s="3" t="s">
        <v>43</v>
      </c>
      <c r="F174" s="4" t="s">
        <v>15</v>
      </c>
      <c r="G174" s="4" t="s">
        <v>15</v>
      </c>
      <c r="H174" s="5" t="n">
        <f aca="false">IFERROR(INDEX(Ksat_Lookup!$B$9:$B$18,MATCH(F174,Ksat_Lookup!$A$9:$A$18,0)),"")</f>
        <v>-12.5</v>
      </c>
      <c r="I174" s="6" t="n">
        <f aca="false">IF(H174="","",10^H174*Ksat_Lookup!$B$5)</f>
        <v>3.10219438462518E-006</v>
      </c>
      <c r="J174" s="6" t="n">
        <f aca="false">IF(I174="","",I174*Ksat_Lookup!$B$6)</f>
        <v>0.268029594831616</v>
      </c>
      <c r="K174" s="4"/>
      <c r="L174" s="6"/>
    </row>
    <row r="175" customFormat="false" ht="15" hidden="false" customHeight="false" outlineLevel="0" collapsed="false">
      <c r="A175" s="3" t="n">
        <v>174</v>
      </c>
      <c r="B175" s="3" t="s">
        <v>241</v>
      </c>
      <c r="C175" s="3" t="s">
        <v>13</v>
      </c>
      <c r="D175" s="3" t="s">
        <v>14</v>
      </c>
      <c r="E175" s="3" t="s">
        <v>14</v>
      </c>
      <c r="F175" s="4" t="s">
        <v>15</v>
      </c>
      <c r="G175" s="4" t="s">
        <v>15</v>
      </c>
      <c r="H175" s="5" t="n">
        <f aca="false">IFERROR(INDEX(Ksat_Lookup!$B$9:$B$18,MATCH(F175,Ksat_Lookup!$A$9:$A$18,0)),"")</f>
        <v>-12.5</v>
      </c>
      <c r="I175" s="6" t="n">
        <f aca="false">IF(H175="","",10^H175*Ksat_Lookup!$B$5)</f>
        <v>3.10219438462518E-006</v>
      </c>
      <c r="J175" s="6" t="n">
        <f aca="false">IF(I175="","",I175*Ksat_Lookup!$B$6)</f>
        <v>0.268029594831616</v>
      </c>
      <c r="K175" s="4"/>
      <c r="L175" s="6"/>
    </row>
    <row r="176" customFormat="false" ht="15" hidden="false" customHeight="false" outlineLevel="0" collapsed="false">
      <c r="A176" s="3" t="n">
        <v>175</v>
      </c>
      <c r="B176" s="3" t="s">
        <v>242</v>
      </c>
      <c r="C176" s="3" t="s">
        <v>50</v>
      </c>
      <c r="D176" s="3" t="s">
        <v>64</v>
      </c>
      <c r="E176" s="3" t="s">
        <v>37</v>
      </c>
      <c r="F176" s="4" t="s">
        <v>51</v>
      </c>
      <c r="G176" s="4" t="s">
        <v>52</v>
      </c>
      <c r="H176" s="5" t="n">
        <f aca="false">IFERROR(INDEX(Ksat_Lookup!$B$9:$B$18,MATCH(F176,Ksat_Lookup!$A$9:$A$18,0)),"")</f>
        <v>-14.1</v>
      </c>
      <c r="I176" s="6" t="n">
        <f aca="false">IF(H176="","",10^H176*Ksat_Lookup!$B$5)</f>
        <v>7.79235998264521E-008</v>
      </c>
      <c r="J176" s="6" t="n">
        <f aca="false">IF(I176="","",I176*Ksat_Lookup!$B$6)</f>
        <v>0.00673259902500546</v>
      </c>
      <c r="K176" s="4"/>
      <c r="L176" s="6"/>
    </row>
    <row r="177" customFormat="false" ht="15" hidden="false" customHeight="false" outlineLevel="0" collapsed="false">
      <c r="A177" s="3" t="n">
        <v>176</v>
      </c>
      <c r="B177" s="3" t="s">
        <v>243</v>
      </c>
      <c r="C177" s="3" t="s">
        <v>50</v>
      </c>
      <c r="D177" s="3" t="s">
        <v>208</v>
      </c>
      <c r="E177" s="3" t="s">
        <v>208</v>
      </c>
      <c r="F177" s="4" t="s">
        <v>51</v>
      </c>
      <c r="G177" s="4" t="s">
        <v>52</v>
      </c>
      <c r="H177" s="5" t="n">
        <f aca="false">IFERROR(INDEX(Ksat_Lookup!$B$9:$B$18,MATCH(F177,Ksat_Lookup!$A$9:$A$18,0)),"")</f>
        <v>-14.1</v>
      </c>
      <c r="I177" s="6" t="n">
        <f aca="false">IF(H177="","",10^H177*Ksat_Lookup!$B$5)</f>
        <v>7.79235998264521E-008</v>
      </c>
      <c r="J177" s="6" t="n">
        <f aca="false">IF(I177="","",I177*Ksat_Lookup!$B$6)</f>
        <v>0.00673259902500546</v>
      </c>
      <c r="K177" s="4"/>
      <c r="L177" s="6"/>
    </row>
    <row r="178" customFormat="false" ht="15" hidden="false" customHeight="false" outlineLevel="0" collapsed="false">
      <c r="A178" s="3" t="n">
        <v>177</v>
      </c>
      <c r="B178" s="3" t="s">
        <v>244</v>
      </c>
      <c r="C178" s="3" t="s">
        <v>19</v>
      </c>
      <c r="D178" s="3" t="s">
        <v>245</v>
      </c>
      <c r="E178" s="3" t="s">
        <v>245</v>
      </c>
      <c r="F178" s="4" t="s">
        <v>22</v>
      </c>
      <c r="G178" s="4" t="s">
        <v>23</v>
      </c>
      <c r="H178" s="5" t="n">
        <f aca="false">IFERROR(INDEX(Ksat_Lookup!$B$9:$B$18,MATCH(F178,Ksat_Lookup!$A$9:$A$18,0)),"")</f>
        <v>-15.2</v>
      </c>
      <c r="I178" s="6" t="n">
        <f aca="false">IF(H178="","",10^H178*Ksat_Lookup!$B$5)</f>
        <v>6.18969154935071E-009</v>
      </c>
      <c r="J178" s="6" t="n">
        <f aca="false">IF(I178="","",I178*Ksat_Lookup!$B$6)</f>
        <v>0.000534789349863901</v>
      </c>
      <c r="K178" s="4"/>
      <c r="L178" s="6"/>
    </row>
    <row r="179" customFormat="false" ht="15" hidden="false" customHeight="false" outlineLevel="0" collapsed="false">
      <c r="A179" s="3" t="n">
        <v>178</v>
      </c>
      <c r="B179" s="3" t="s">
        <v>246</v>
      </c>
      <c r="C179" s="3" t="s">
        <v>13</v>
      </c>
      <c r="D179" s="3" t="s">
        <v>219</v>
      </c>
      <c r="E179" s="3" t="s">
        <v>219</v>
      </c>
      <c r="F179" s="4" t="s">
        <v>34</v>
      </c>
      <c r="G179" s="4" t="s">
        <v>35</v>
      </c>
      <c r="H179" s="5" t="n">
        <f aca="false">IFERROR(INDEX(Ksat_Lookup!$B$9:$B$18,MATCH(F179,Ksat_Lookup!$A$9:$A$18,0)),"")</f>
        <v>-13.85</v>
      </c>
      <c r="I179" s="6" t="n">
        <f aca="false">IF(H179="","",10^H179*Ksat_Lookup!$B$5)</f>
        <v>1.38569933127492E-007</v>
      </c>
      <c r="J179" s="6" t="n">
        <f aca="false">IF(I179="","",I179*Ksat_Lookup!$B$6)</f>
        <v>0.0119724422222153</v>
      </c>
      <c r="K179" s="4"/>
      <c r="L179" s="6"/>
    </row>
    <row r="180" customFormat="false" ht="15" hidden="false" customHeight="false" outlineLevel="0" collapsed="false">
      <c r="A180" s="3" t="n">
        <v>179</v>
      </c>
      <c r="B180" s="3" t="s">
        <v>247</v>
      </c>
      <c r="C180" s="3" t="s">
        <v>50</v>
      </c>
      <c r="D180" s="3" t="s">
        <v>193</v>
      </c>
      <c r="E180" s="3" t="s">
        <v>193</v>
      </c>
      <c r="F180" s="4" t="s">
        <v>51</v>
      </c>
      <c r="G180" s="4" t="s">
        <v>52</v>
      </c>
      <c r="H180" s="5" t="n">
        <f aca="false">IFERROR(INDEX(Ksat_Lookup!$B$9:$B$18,MATCH(F180,Ksat_Lookup!$A$9:$A$18,0)),"")</f>
        <v>-14.1</v>
      </c>
      <c r="I180" s="6" t="n">
        <f aca="false">IF(H180="","",10^H180*Ksat_Lookup!$B$5)</f>
        <v>7.79235998264521E-008</v>
      </c>
      <c r="J180" s="6" t="n">
        <f aca="false">IF(I180="","",I180*Ksat_Lookup!$B$6)</f>
        <v>0.00673259902500546</v>
      </c>
      <c r="K180" s="4"/>
      <c r="L180" s="6"/>
    </row>
    <row r="181" customFormat="false" ht="15" hidden="false" customHeight="false" outlineLevel="0" collapsed="false">
      <c r="A181" s="3" t="n">
        <v>180</v>
      </c>
      <c r="B181" s="3" t="s">
        <v>248</v>
      </c>
      <c r="C181" s="3" t="s">
        <v>19</v>
      </c>
      <c r="D181" s="3" t="s">
        <v>208</v>
      </c>
      <c r="E181" s="3" t="s">
        <v>208</v>
      </c>
      <c r="F181" s="4" t="s">
        <v>22</v>
      </c>
      <c r="G181" s="4" t="s">
        <v>23</v>
      </c>
      <c r="H181" s="5" t="n">
        <f aca="false">IFERROR(INDEX(Ksat_Lookup!$B$9:$B$18,MATCH(F181,Ksat_Lookup!$A$9:$A$18,0)),"")</f>
        <v>-15.2</v>
      </c>
      <c r="I181" s="6" t="n">
        <f aca="false">IF(H181="","",10^H181*Ksat_Lookup!$B$5)</f>
        <v>6.18969154935071E-009</v>
      </c>
      <c r="J181" s="6" t="n">
        <f aca="false">IF(I181="","",I181*Ksat_Lookup!$B$6)</f>
        <v>0.000534789349863901</v>
      </c>
      <c r="K181" s="4"/>
      <c r="L181" s="6"/>
    </row>
    <row r="182" customFormat="false" ht="15" hidden="false" customHeight="false" outlineLevel="0" collapsed="false">
      <c r="A182" s="3" t="n">
        <v>181</v>
      </c>
      <c r="B182" s="3" t="s">
        <v>249</v>
      </c>
      <c r="C182" s="3" t="s">
        <v>19</v>
      </c>
      <c r="D182" s="3" t="s">
        <v>72</v>
      </c>
      <c r="E182" s="3" t="s">
        <v>72</v>
      </c>
      <c r="F182" s="4" t="s">
        <v>22</v>
      </c>
      <c r="G182" s="4" t="s">
        <v>23</v>
      </c>
      <c r="H182" s="5" t="n">
        <f aca="false">IFERROR(INDEX(Ksat_Lookup!$B$9:$B$18,MATCH(F182,Ksat_Lookup!$A$9:$A$18,0)),"")</f>
        <v>-15.2</v>
      </c>
      <c r="I182" s="6" t="n">
        <f aca="false">IF(H182="","",10^H182*Ksat_Lookup!$B$5)</f>
        <v>6.18969154935071E-009</v>
      </c>
      <c r="J182" s="6" t="n">
        <f aca="false">IF(I182="","",I182*Ksat_Lookup!$B$6)</f>
        <v>0.000534789349863901</v>
      </c>
      <c r="K182" s="4"/>
      <c r="L182" s="6"/>
    </row>
    <row r="183" customFormat="false" ht="15" hidden="false" customHeight="false" outlineLevel="0" collapsed="false">
      <c r="A183" s="3" t="n">
        <v>182</v>
      </c>
      <c r="B183" s="3" t="s">
        <v>250</v>
      </c>
      <c r="C183" s="3" t="s">
        <v>19</v>
      </c>
      <c r="D183" s="3" t="s">
        <v>72</v>
      </c>
      <c r="E183" s="3" t="s">
        <v>72</v>
      </c>
      <c r="F183" s="4" t="s">
        <v>22</v>
      </c>
      <c r="G183" s="4" t="s">
        <v>23</v>
      </c>
      <c r="H183" s="5" t="n">
        <f aca="false">IFERROR(INDEX(Ksat_Lookup!$B$9:$B$18,MATCH(F183,Ksat_Lookup!$A$9:$A$18,0)),"")</f>
        <v>-15.2</v>
      </c>
      <c r="I183" s="6" t="n">
        <f aca="false">IF(H183="","",10^H183*Ksat_Lookup!$B$5)</f>
        <v>6.18969154935071E-009</v>
      </c>
      <c r="J183" s="6" t="n">
        <f aca="false">IF(I183="","",I183*Ksat_Lookup!$B$6)</f>
        <v>0.000534789349863901</v>
      </c>
      <c r="K183" s="4"/>
      <c r="L183" s="6"/>
    </row>
    <row r="184" customFormat="false" ht="15" hidden="false" customHeight="false" outlineLevel="0" collapsed="false">
      <c r="A184" s="3" t="n">
        <v>183</v>
      </c>
      <c r="B184" s="3" t="s">
        <v>251</v>
      </c>
      <c r="C184" s="3" t="s">
        <v>19</v>
      </c>
      <c r="D184" s="3" t="s">
        <v>252</v>
      </c>
      <c r="E184" s="3" t="s">
        <v>252</v>
      </c>
      <c r="F184" s="4" t="s">
        <v>22</v>
      </c>
      <c r="G184" s="4" t="s">
        <v>23</v>
      </c>
      <c r="H184" s="5" t="n">
        <f aca="false">IFERROR(INDEX(Ksat_Lookup!$B$9:$B$18,MATCH(F184,Ksat_Lookup!$A$9:$A$18,0)),"")</f>
        <v>-15.2</v>
      </c>
      <c r="I184" s="6" t="n">
        <f aca="false">IF(H184="","",10^H184*Ksat_Lookup!$B$5)</f>
        <v>6.18969154935071E-009</v>
      </c>
      <c r="J184" s="6" t="n">
        <f aca="false">IF(I184="","",I184*Ksat_Lookup!$B$6)</f>
        <v>0.000534789349863901</v>
      </c>
      <c r="K184" s="4"/>
      <c r="L184" s="6"/>
    </row>
    <row r="185" customFormat="false" ht="15" hidden="false" customHeight="false" outlineLevel="0" collapsed="false">
      <c r="A185" s="3" t="n">
        <v>184</v>
      </c>
      <c r="B185" s="3" t="s">
        <v>253</v>
      </c>
      <c r="C185" s="3" t="s">
        <v>19</v>
      </c>
      <c r="D185" s="3" t="s">
        <v>254</v>
      </c>
      <c r="E185" s="3" t="s">
        <v>254</v>
      </c>
      <c r="F185" s="4" t="s">
        <v>22</v>
      </c>
      <c r="G185" s="4" t="s">
        <v>23</v>
      </c>
      <c r="H185" s="5" t="n">
        <f aca="false">IFERROR(INDEX(Ksat_Lookup!$B$9:$B$18,MATCH(F185,Ksat_Lookup!$A$9:$A$18,0)),"")</f>
        <v>-15.2</v>
      </c>
      <c r="I185" s="6" t="n">
        <f aca="false">IF(H185="","",10^H185*Ksat_Lookup!$B$5)</f>
        <v>6.18969154935071E-009</v>
      </c>
      <c r="J185" s="6" t="n">
        <f aca="false">IF(I185="","",I185*Ksat_Lookup!$B$6)</f>
        <v>0.000534789349863901</v>
      </c>
      <c r="K185" s="4"/>
      <c r="L185" s="6"/>
    </row>
    <row r="186" customFormat="false" ht="15" hidden="false" customHeight="false" outlineLevel="0" collapsed="false">
      <c r="A186" s="3" t="n">
        <v>185</v>
      </c>
      <c r="B186" s="3" t="s">
        <v>255</v>
      </c>
      <c r="C186" s="3" t="s">
        <v>19</v>
      </c>
      <c r="D186" s="3" t="s">
        <v>252</v>
      </c>
      <c r="E186" s="3" t="s">
        <v>252</v>
      </c>
      <c r="F186" s="4" t="s">
        <v>22</v>
      </c>
      <c r="G186" s="4" t="s">
        <v>23</v>
      </c>
      <c r="H186" s="5" t="n">
        <f aca="false">IFERROR(INDEX(Ksat_Lookup!$B$9:$B$18,MATCH(F186,Ksat_Lookup!$A$9:$A$18,0)),"")</f>
        <v>-15.2</v>
      </c>
      <c r="I186" s="6" t="n">
        <f aca="false">IF(H186="","",10^H186*Ksat_Lookup!$B$5)</f>
        <v>6.18969154935071E-009</v>
      </c>
      <c r="J186" s="6" t="n">
        <f aca="false">IF(I186="","",I186*Ksat_Lookup!$B$6)</f>
        <v>0.000534789349863901</v>
      </c>
      <c r="K186" s="4"/>
      <c r="L186" s="6"/>
    </row>
    <row r="187" customFormat="false" ht="15" hidden="false" customHeight="false" outlineLevel="0" collapsed="false">
      <c r="A187" s="3" t="n">
        <v>186</v>
      </c>
      <c r="B187" s="3" t="s">
        <v>256</v>
      </c>
      <c r="C187" s="3" t="s">
        <v>19</v>
      </c>
      <c r="D187" s="3" t="s">
        <v>245</v>
      </c>
      <c r="E187" s="3" t="s">
        <v>245</v>
      </c>
      <c r="F187" s="4" t="s">
        <v>22</v>
      </c>
      <c r="G187" s="4" t="s">
        <v>23</v>
      </c>
      <c r="H187" s="5" t="n">
        <f aca="false">IFERROR(INDEX(Ksat_Lookup!$B$9:$B$18,MATCH(F187,Ksat_Lookup!$A$9:$A$18,0)),"")</f>
        <v>-15.2</v>
      </c>
      <c r="I187" s="6" t="n">
        <f aca="false">IF(H187="","",10^H187*Ksat_Lookup!$B$5)</f>
        <v>6.18969154935071E-009</v>
      </c>
      <c r="J187" s="6" t="n">
        <f aca="false">IF(I187="","",I187*Ksat_Lookup!$B$6)</f>
        <v>0.000534789349863901</v>
      </c>
      <c r="K187" s="4"/>
      <c r="L187" s="6"/>
    </row>
    <row r="188" customFormat="false" ht="15" hidden="false" customHeight="false" outlineLevel="0" collapsed="false">
      <c r="A188" s="3" t="n">
        <v>187</v>
      </c>
      <c r="B188" s="3" t="s">
        <v>257</v>
      </c>
      <c r="C188" s="3" t="s">
        <v>19</v>
      </c>
      <c r="D188" s="3" t="s">
        <v>258</v>
      </c>
      <c r="E188" s="3" t="s">
        <v>258</v>
      </c>
      <c r="F188" s="4" t="s">
        <v>22</v>
      </c>
      <c r="G188" s="4" t="s">
        <v>23</v>
      </c>
      <c r="H188" s="5" t="n">
        <f aca="false">IFERROR(INDEX(Ksat_Lookup!$B$9:$B$18,MATCH(F188,Ksat_Lookup!$A$9:$A$18,0)),"")</f>
        <v>-15.2</v>
      </c>
      <c r="I188" s="6" t="n">
        <f aca="false">IF(H188="","",10^H188*Ksat_Lookup!$B$5)</f>
        <v>6.18969154935071E-009</v>
      </c>
      <c r="J188" s="6" t="n">
        <f aca="false">IF(I188="","",I188*Ksat_Lookup!$B$6)</f>
        <v>0.000534789349863901</v>
      </c>
      <c r="K188" s="4"/>
      <c r="L188" s="6"/>
    </row>
    <row r="189" customFormat="false" ht="15" hidden="false" customHeight="false" outlineLevel="0" collapsed="false">
      <c r="A189" s="3" t="n">
        <v>188</v>
      </c>
      <c r="B189" s="3" t="s">
        <v>259</v>
      </c>
      <c r="C189" s="3" t="s">
        <v>19</v>
      </c>
      <c r="D189" s="3" t="s">
        <v>260</v>
      </c>
      <c r="E189" s="3" t="s">
        <v>260</v>
      </c>
      <c r="F189" s="4" t="s">
        <v>22</v>
      </c>
      <c r="G189" s="4" t="s">
        <v>23</v>
      </c>
      <c r="H189" s="5" t="n">
        <f aca="false">IFERROR(INDEX(Ksat_Lookup!$B$9:$B$18,MATCH(F189,Ksat_Lookup!$A$9:$A$18,0)),"")</f>
        <v>-15.2</v>
      </c>
      <c r="I189" s="6" t="n">
        <f aca="false">IF(H189="","",10^H189*Ksat_Lookup!$B$5)</f>
        <v>6.18969154935071E-009</v>
      </c>
      <c r="J189" s="6" t="n">
        <f aca="false">IF(I189="","",I189*Ksat_Lookup!$B$6)</f>
        <v>0.000534789349863901</v>
      </c>
      <c r="K189" s="4"/>
      <c r="L189" s="6"/>
    </row>
    <row r="190" customFormat="false" ht="15" hidden="false" customHeight="false" outlineLevel="0" collapsed="false">
      <c r="A190" s="3" t="n">
        <v>189</v>
      </c>
      <c r="B190" s="3" t="s">
        <v>261</v>
      </c>
      <c r="C190" s="3" t="s">
        <v>19</v>
      </c>
      <c r="D190" s="3" t="s">
        <v>262</v>
      </c>
      <c r="E190" s="3" t="s">
        <v>262</v>
      </c>
      <c r="F190" s="4" t="s">
        <v>22</v>
      </c>
      <c r="G190" s="4" t="s">
        <v>23</v>
      </c>
      <c r="H190" s="5" t="n">
        <f aca="false">IFERROR(INDEX(Ksat_Lookup!$B$9:$B$18,MATCH(F190,Ksat_Lookup!$A$9:$A$18,0)),"")</f>
        <v>-15.2</v>
      </c>
      <c r="I190" s="6" t="n">
        <f aca="false">IF(H190="","",10^H190*Ksat_Lookup!$B$5)</f>
        <v>6.18969154935071E-009</v>
      </c>
      <c r="J190" s="6" t="n">
        <f aca="false">IF(I190="","",I190*Ksat_Lookup!$B$6)</f>
        <v>0.000534789349863901</v>
      </c>
      <c r="K190" s="4"/>
      <c r="L190" s="6"/>
    </row>
    <row r="191" customFormat="false" ht="15" hidden="false" customHeight="false" outlineLevel="0" collapsed="false">
      <c r="A191" s="3" t="n">
        <v>190</v>
      </c>
      <c r="B191" s="3" t="s">
        <v>263</v>
      </c>
      <c r="C191" s="3" t="s">
        <v>19</v>
      </c>
      <c r="D191" s="3" t="s">
        <v>264</v>
      </c>
      <c r="E191" s="3" t="s">
        <v>264</v>
      </c>
      <c r="F191" s="4" t="s">
        <v>22</v>
      </c>
      <c r="G191" s="4" t="s">
        <v>23</v>
      </c>
      <c r="H191" s="5" t="n">
        <f aca="false">IFERROR(INDEX(Ksat_Lookup!$B$9:$B$18,MATCH(F191,Ksat_Lookup!$A$9:$A$18,0)),"")</f>
        <v>-15.2</v>
      </c>
      <c r="I191" s="6" t="n">
        <f aca="false">IF(H191="","",10^H191*Ksat_Lookup!$B$5)</f>
        <v>6.18969154935071E-009</v>
      </c>
      <c r="J191" s="6" t="n">
        <f aca="false">IF(I191="","",I191*Ksat_Lookup!$B$6)</f>
        <v>0.000534789349863901</v>
      </c>
      <c r="K191" s="4"/>
      <c r="L191" s="6"/>
    </row>
    <row r="192" customFormat="false" ht="15" hidden="false" customHeight="false" outlineLevel="0" collapsed="false">
      <c r="A192" s="3" t="n">
        <v>191</v>
      </c>
      <c r="B192" s="3" t="s">
        <v>265</v>
      </c>
      <c r="C192" s="3" t="s">
        <v>19</v>
      </c>
      <c r="D192" s="3" t="s">
        <v>262</v>
      </c>
      <c r="E192" s="3" t="s">
        <v>262</v>
      </c>
      <c r="F192" s="4" t="s">
        <v>22</v>
      </c>
      <c r="G192" s="4" t="s">
        <v>23</v>
      </c>
      <c r="H192" s="5" t="n">
        <f aca="false">IFERROR(INDEX(Ksat_Lookup!$B$9:$B$18,MATCH(F192,Ksat_Lookup!$A$9:$A$18,0)),"")</f>
        <v>-15.2</v>
      </c>
      <c r="I192" s="6" t="n">
        <f aca="false">IF(H192="","",10^H192*Ksat_Lookup!$B$5)</f>
        <v>6.18969154935071E-009</v>
      </c>
      <c r="J192" s="6" t="n">
        <f aca="false">IF(I192="","",I192*Ksat_Lookup!$B$6)</f>
        <v>0.000534789349863901</v>
      </c>
      <c r="K192" s="4"/>
      <c r="L192" s="6"/>
    </row>
    <row r="193" customFormat="false" ht="15" hidden="false" customHeight="false" outlineLevel="0" collapsed="false">
      <c r="A193" s="3" t="n">
        <v>192</v>
      </c>
      <c r="B193" s="3" t="s">
        <v>266</v>
      </c>
      <c r="C193" s="3" t="s">
        <v>19</v>
      </c>
      <c r="D193" s="3" t="s">
        <v>267</v>
      </c>
      <c r="E193" s="3" t="s">
        <v>267</v>
      </c>
      <c r="F193" s="4" t="s">
        <v>22</v>
      </c>
      <c r="G193" s="4" t="s">
        <v>23</v>
      </c>
      <c r="H193" s="5" t="n">
        <f aca="false">IFERROR(INDEX(Ksat_Lookup!$B$9:$B$18,MATCH(F193,Ksat_Lookup!$A$9:$A$18,0)),"")</f>
        <v>-15.2</v>
      </c>
      <c r="I193" s="6" t="n">
        <f aca="false">IF(H193="","",10^H193*Ksat_Lookup!$B$5)</f>
        <v>6.18969154935071E-009</v>
      </c>
      <c r="J193" s="6" t="n">
        <f aca="false">IF(I193="","",I193*Ksat_Lookup!$B$6)</f>
        <v>0.000534789349863901</v>
      </c>
      <c r="K193" s="4"/>
      <c r="L193" s="6"/>
    </row>
    <row r="194" customFormat="false" ht="15" hidden="false" customHeight="false" outlineLevel="0" collapsed="false">
      <c r="A194" s="3" t="n">
        <v>193</v>
      </c>
      <c r="B194" s="3" t="s">
        <v>268</v>
      </c>
      <c r="C194" s="3" t="s">
        <v>19</v>
      </c>
      <c r="D194" s="3" t="s">
        <v>269</v>
      </c>
      <c r="E194" s="3" t="s">
        <v>269</v>
      </c>
      <c r="F194" s="4" t="s">
        <v>22</v>
      </c>
      <c r="G194" s="4" t="s">
        <v>23</v>
      </c>
      <c r="H194" s="5" t="n">
        <f aca="false">IFERROR(INDEX(Ksat_Lookup!$B$9:$B$18,MATCH(F194,Ksat_Lookup!$A$9:$A$18,0)),"")</f>
        <v>-15.2</v>
      </c>
      <c r="I194" s="6" t="n">
        <f aca="false">IF(H194="","",10^H194*Ksat_Lookup!$B$5)</f>
        <v>6.18969154935071E-009</v>
      </c>
      <c r="J194" s="6" t="n">
        <f aca="false">IF(I194="","",I194*Ksat_Lookup!$B$6)</f>
        <v>0.000534789349863901</v>
      </c>
      <c r="K194" s="4"/>
      <c r="L194" s="6"/>
    </row>
    <row r="195" customFormat="false" ht="15" hidden="false" customHeight="false" outlineLevel="0" collapsed="false">
      <c r="A195" s="3" t="n">
        <v>194</v>
      </c>
      <c r="B195" s="3" t="s">
        <v>270</v>
      </c>
      <c r="C195" s="3" t="s">
        <v>19</v>
      </c>
      <c r="D195" s="3" t="s">
        <v>271</v>
      </c>
      <c r="E195" s="3" t="s">
        <v>271</v>
      </c>
      <c r="F195" s="4" t="s">
        <v>25</v>
      </c>
      <c r="G195" s="4" t="s">
        <v>26</v>
      </c>
      <c r="H195" s="5" t="n">
        <f aca="false">IFERROR(INDEX(Ksat_Lookup!$B$9:$B$18,MATCH(F195,Ksat_Lookup!$A$9:$A$18,0)),"")</f>
        <v>-13</v>
      </c>
      <c r="I195" s="6" t="n">
        <f aca="false">IF(H195="","",10^H195*Ksat_Lookup!$B$5)</f>
        <v>9.81E-007</v>
      </c>
      <c r="J195" s="6" t="n">
        <f aca="false">IF(I195="","",I195*Ksat_Lookup!$B$6)</f>
        <v>0.0847584</v>
      </c>
      <c r="K195" s="4"/>
      <c r="L195" s="6"/>
    </row>
    <row r="196" customFormat="false" ht="15" hidden="false" customHeight="false" outlineLevel="0" collapsed="false">
      <c r="A196" s="3" t="n">
        <v>195</v>
      </c>
      <c r="B196" s="3" t="s">
        <v>272</v>
      </c>
      <c r="C196" s="3" t="s">
        <v>19</v>
      </c>
      <c r="D196" s="3" t="s">
        <v>245</v>
      </c>
      <c r="E196" s="3" t="s">
        <v>245</v>
      </c>
      <c r="F196" s="4" t="s">
        <v>22</v>
      </c>
      <c r="G196" s="4" t="s">
        <v>23</v>
      </c>
      <c r="H196" s="5" t="n">
        <f aca="false">IFERROR(INDEX(Ksat_Lookup!$B$9:$B$18,MATCH(F196,Ksat_Lookup!$A$9:$A$18,0)),"")</f>
        <v>-15.2</v>
      </c>
      <c r="I196" s="6" t="n">
        <f aca="false">IF(H196="","",10^H196*Ksat_Lookup!$B$5)</f>
        <v>6.18969154935071E-009</v>
      </c>
      <c r="J196" s="6" t="n">
        <f aca="false">IF(I196="","",I196*Ksat_Lookup!$B$6)</f>
        <v>0.000534789349863901</v>
      </c>
      <c r="K196" s="4"/>
      <c r="L196" s="6"/>
    </row>
    <row r="197" customFormat="false" ht="15" hidden="false" customHeight="false" outlineLevel="0" collapsed="false">
      <c r="A197" s="3" t="n">
        <v>196</v>
      </c>
      <c r="B197" s="3" t="s">
        <v>273</v>
      </c>
      <c r="C197" s="3" t="s">
        <v>19</v>
      </c>
      <c r="D197" s="3" t="s">
        <v>274</v>
      </c>
      <c r="E197" s="3" t="s">
        <v>274</v>
      </c>
      <c r="F197" s="4" t="s">
        <v>22</v>
      </c>
      <c r="G197" s="4" t="s">
        <v>23</v>
      </c>
      <c r="H197" s="5" t="n">
        <f aca="false">IFERROR(INDEX(Ksat_Lookup!$B$9:$B$18,MATCH(F197,Ksat_Lookup!$A$9:$A$18,0)),"")</f>
        <v>-15.2</v>
      </c>
      <c r="I197" s="6" t="n">
        <f aca="false">IF(H197="","",10^H197*Ksat_Lookup!$B$5)</f>
        <v>6.18969154935071E-009</v>
      </c>
      <c r="J197" s="6" t="n">
        <f aca="false">IF(I197="","",I197*Ksat_Lookup!$B$6)</f>
        <v>0.000534789349863901</v>
      </c>
      <c r="K197" s="4"/>
      <c r="L197" s="6"/>
    </row>
    <row r="198" customFormat="false" ht="15" hidden="false" customHeight="false" outlineLevel="0" collapsed="false">
      <c r="A198" s="3" t="n">
        <v>197</v>
      </c>
      <c r="B198" s="3" t="s">
        <v>275</v>
      </c>
      <c r="C198" s="3" t="s">
        <v>19</v>
      </c>
      <c r="D198" s="3" t="s">
        <v>208</v>
      </c>
      <c r="E198" s="3" t="s">
        <v>208</v>
      </c>
      <c r="F198" s="4" t="s">
        <v>22</v>
      </c>
      <c r="G198" s="4" t="s">
        <v>23</v>
      </c>
      <c r="H198" s="5" t="n">
        <f aca="false">IFERROR(INDEX(Ksat_Lookup!$B$9:$B$18,MATCH(F198,Ksat_Lookup!$A$9:$A$18,0)),"")</f>
        <v>-15.2</v>
      </c>
      <c r="I198" s="6" t="n">
        <f aca="false">IF(H198="","",10^H198*Ksat_Lookup!$B$5)</f>
        <v>6.18969154935071E-009</v>
      </c>
      <c r="J198" s="6" t="n">
        <f aca="false">IF(I198="","",I198*Ksat_Lookup!$B$6)</f>
        <v>0.000534789349863901</v>
      </c>
      <c r="K198" s="4"/>
      <c r="L198" s="6"/>
    </row>
    <row r="199" customFormat="false" ht="15" hidden="false" customHeight="false" outlineLevel="0" collapsed="false">
      <c r="A199" s="3" t="n">
        <v>198</v>
      </c>
      <c r="B199" s="3" t="s">
        <v>276</v>
      </c>
      <c r="C199" s="3" t="s">
        <v>13</v>
      </c>
      <c r="D199" s="3" t="s">
        <v>219</v>
      </c>
      <c r="E199" s="3" t="s">
        <v>219</v>
      </c>
      <c r="F199" s="4" t="s">
        <v>15</v>
      </c>
      <c r="G199" s="4" t="s">
        <v>277</v>
      </c>
      <c r="H199" s="5" t="n">
        <f aca="false">IFERROR(INDEX(Ksat_Lookup!$B$9:$B$18,MATCH(F199,Ksat_Lookup!$A$9:$A$18,0)),"")</f>
        <v>-12.5</v>
      </c>
      <c r="I199" s="6" t="n">
        <f aca="false">IF(H199="","",10^H199*Ksat_Lookup!$B$5)</f>
        <v>3.10219438462518E-006</v>
      </c>
      <c r="J199" s="6" t="n">
        <f aca="false">IF(I199="","",I199*Ksat_Lookup!$B$6)</f>
        <v>0.268029594831616</v>
      </c>
      <c r="K199" s="4" t="s">
        <v>51</v>
      </c>
      <c r="L199" s="6" t="n">
        <f aca="false">10^INDEX(Ksat_Lookup!$B$9:$B$18,MATCH(K199,Ksat_Lookup!$A$9:$A$18,0))*Ksat_Lookup!$B$5*Ksat_Lookup!$B$6</f>
        <v>0.00673259902500546</v>
      </c>
    </row>
    <row r="200" customFormat="false" ht="15" hidden="false" customHeight="false" outlineLevel="0" collapsed="false">
      <c r="A200" s="3" t="n">
        <v>199</v>
      </c>
      <c r="B200" s="3" t="s">
        <v>278</v>
      </c>
      <c r="C200" s="3" t="s">
        <v>19</v>
      </c>
      <c r="D200" s="3" t="s">
        <v>219</v>
      </c>
      <c r="E200" s="3" t="s">
        <v>219</v>
      </c>
      <c r="F200" s="4" t="s">
        <v>22</v>
      </c>
      <c r="G200" s="4" t="s">
        <v>23</v>
      </c>
      <c r="H200" s="5" t="n">
        <f aca="false">IFERROR(INDEX(Ksat_Lookup!$B$9:$B$18,MATCH(F200,Ksat_Lookup!$A$9:$A$18,0)),"")</f>
        <v>-15.2</v>
      </c>
      <c r="I200" s="6" t="n">
        <f aca="false">IF(H200="","",10^H200*Ksat_Lookup!$B$5)</f>
        <v>6.18969154935071E-009</v>
      </c>
      <c r="J200" s="6" t="n">
        <f aca="false">IF(I200="","",I200*Ksat_Lookup!$B$6)</f>
        <v>0.000534789349863901</v>
      </c>
      <c r="K200" s="4"/>
      <c r="L200" s="6"/>
    </row>
    <row r="201" customFormat="false" ht="15" hidden="false" customHeight="false" outlineLevel="0" collapsed="false">
      <c r="A201" s="3" t="n">
        <v>200</v>
      </c>
      <c r="B201" s="3" t="s">
        <v>279</v>
      </c>
      <c r="C201" s="3" t="s">
        <v>50</v>
      </c>
      <c r="D201" s="3" t="s">
        <v>29</v>
      </c>
      <c r="E201" s="3" t="s">
        <v>29</v>
      </c>
      <c r="F201" s="4" t="s">
        <v>51</v>
      </c>
      <c r="G201" s="4" t="s">
        <v>52</v>
      </c>
      <c r="H201" s="5" t="n">
        <f aca="false">IFERROR(INDEX(Ksat_Lookup!$B$9:$B$18,MATCH(F201,Ksat_Lookup!$A$9:$A$18,0)),"")</f>
        <v>-14.1</v>
      </c>
      <c r="I201" s="6" t="n">
        <f aca="false">IF(H201="","",10^H201*Ksat_Lookup!$B$5)</f>
        <v>7.79235998264521E-008</v>
      </c>
      <c r="J201" s="6" t="n">
        <f aca="false">IF(I201="","",I201*Ksat_Lookup!$B$6)</f>
        <v>0.00673259902500546</v>
      </c>
      <c r="K201" s="4"/>
      <c r="L201" s="6"/>
    </row>
    <row r="202" customFormat="false" ht="15" hidden="false" customHeight="false" outlineLevel="0" collapsed="false">
      <c r="A202" s="3" t="n">
        <v>201</v>
      </c>
      <c r="B202" s="3" t="s">
        <v>280</v>
      </c>
      <c r="C202" s="3" t="s">
        <v>19</v>
      </c>
      <c r="D202" s="3" t="s">
        <v>264</v>
      </c>
      <c r="E202" s="3" t="s">
        <v>264</v>
      </c>
      <c r="F202" s="4" t="s">
        <v>22</v>
      </c>
      <c r="G202" s="4" t="s">
        <v>23</v>
      </c>
      <c r="H202" s="5" t="n">
        <f aca="false">IFERROR(INDEX(Ksat_Lookup!$B$9:$B$18,MATCH(F202,Ksat_Lookup!$A$9:$A$18,0)),"")</f>
        <v>-15.2</v>
      </c>
      <c r="I202" s="6" t="n">
        <f aca="false">IF(H202="","",10^H202*Ksat_Lookup!$B$5)</f>
        <v>6.18969154935071E-009</v>
      </c>
      <c r="J202" s="6" t="n">
        <f aca="false">IF(I202="","",I202*Ksat_Lookup!$B$6)</f>
        <v>0.000534789349863901</v>
      </c>
      <c r="K202" s="4"/>
      <c r="L202" s="6"/>
    </row>
    <row r="203" customFormat="false" ht="15" hidden="false" customHeight="false" outlineLevel="0" collapsed="false">
      <c r="A203" s="3" t="n">
        <v>202</v>
      </c>
      <c r="B203" s="3" t="s">
        <v>281</v>
      </c>
      <c r="C203" s="3" t="s">
        <v>50</v>
      </c>
      <c r="D203" s="3" t="s">
        <v>219</v>
      </c>
      <c r="E203" s="3" t="s">
        <v>219</v>
      </c>
      <c r="F203" s="4" t="s">
        <v>51</v>
      </c>
      <c r="G203" s="4" t="s">
        <v>52</v>
      </c>
      <c r="H203" s="5" t="n">
        <f aca="false">IFERROR(INDEX(Ksat_Lookup!$B$9:$B$18,MATCH(F203,Ksat_Lookup!$A$9:$A$18,0)),"")</f>
        <v>-14.1</v>
      </c>
      <c r="I203" s="6" t="n">
        <f aca="false">IF(H203="","",10^H203*Ksat_Lookup!$B$5)</f>
        <v>7.79235998264521E-008</v>
      </c>
      <c r="J203" s="6" t="n">
        <f aca="false">IF(I203="","",I203*Ksat_Lookup!$B$6)</f>
        <v>0.00673259902500546</v>
      </c>
      <c r="K203" s="4"/>
      <c r="L203" s="6"/>
    </row>
    <row r="204" customFormat="false" ht="15" hidden="false" customHeight="false" outlineLevel="0" collapsed="false">
      <c r="A204" s="3" t="n">
        <v>203</v>
      </c>
      <c r="B204" s="3" t="s">
        <v>282</v>
      </c>
      <c r="C204" s="3" t="s">
        <v>151</v>
      </c>
      <c r="D204" s="3" t="s">
        <v>219</v>
      </c>
      <c r="E204" s="3" t="s">
        <v>219</v>
      </c>
      <c r="F204" s="4" t="s">
        <v>51</v>
      </c>
      <c r="G204" s="4" t="s">
        <v>153</v>
      </c>
      <c r="H204" s="5" t="n">
        <f aca="false">IFERROR(INDEX(Ksat_Lookup!$B$9:$B$18,MATCH(F204,Ksat_Lookup!$A$9:$A$18,0)),"")</f>
        <v>-14.1</v>
      </c>
      <c r="I204" s="6" t="n">
        <f aca="false">IF(H204="","",10^H204*Ksat_Lookup!$B$5)</f>
        <v>7.79235998264521E-008</v>
      </c>
      <c r="J204" s="6" t="n">
        <f aca="false">IF(I204="","",I204*Ksat_Lookup!$B$6)</f>
        <v>0.00673259902500546</v>
      </c>
      <c r="K204" s="4"/>
      <c r="L204" s="6"/>
    </row>
    <row r="205" customFormat="false" ht="15" hidden="false" customHeight="false" outlineLevel="0" collapsed="false">
      <c r="A205" s="3" t="n">
        <v>204</v>
      </c>
      <c r="B205" s="3" t="s">
        <v>283</v>
      </c>
      <c r="C205" s="3" t="s">
        <v>50</v>
      </c>
      <c r="D205" s="3" t="s">
        <v>200</v>
      </c>
      <c r="E205" s="3" t="s">
        <v>200</v>
      </c>
      <c r="F205" s="4" t="s">
        <v>51</v>
      </c>
      <c r="G205" s="4" t="s">
        <v>52</v>
      </c>
      <c r="H205" s="5" t="n">
        <f aca="false">IFERROR(INDEX(Ksat_Lookup!$B$9:$B$18,MATCH(F205,Ksat_Lookup!$A$9:$A$18,0)),"")</f>
        <v>-14.1</v>
      </c>
      <c r="I205" s="6" t="n">
        <f aca="false">IF(H205="","",10^H205*Ksat_Lookup!$B$5)</f>
        <v>7.79235998264521E-008</v>
      </c>
      <c r="J205" s="6" t="n">
        <f aca="false">IF(I205="","",I205*Ksat_Lookup!$B$6)</f>
        <v>0.00673259902500546</v>
      </c>
      <c r="K205" s="4"/>
      <c r="L205" s="6"/>
    </row>
    <row r="206" customFormat="false" ht="15" hidden="false" customHeight="false" outlineLevel="0" collapsed="false">
      <c r="A206" s="3" t="n">
        <v>205</v>
      </c>
      <c r="B206" s="3" t="s">
        <v>284</v>
      </c>
      <c r="C206" s="3" t="s">
        <v>50</v>
      </c>
      <c r="D206" s="3" t="s">
        <v>219</v>
      </c>
      <c r="E206" s="3" t="s">
        <v>219</v>
      </c>
      <c r="F206" s="4" t="s">
        <v>51</v>
      </c>
      <c r="G206" s="4" t="s">
        <v>52</v>
      </c>
      <c r="H206" s="5" t="n">
        <f aca="false">IFERROR(INDEX(Ksat_Lookup!$B$9:$B$18,MATCH(F206,Ksat_Lookup!$A$9:$A$18,0)),"")</f>
        <v>-14.1</v>
      </c>
      <c r="I206" s="6" t="n">
        <f aca="false">IF(H206="","",10^H206*Ksat_Lookup!$B$5)</f>
        <v>7.79235998264521E-008</v>
      </c>
      <c r="J206" s="6" t="n">
        <f aca="false">IF(I206="","",I206*Ksat_Lookup!$B$6)</f>
        <v>0.00673259902500546</v>
      </c>
      <c r="K206" s="4"/>
      <c r="L206" s="6"/>
    </row>
    <row r="207" customFormat="false" ht="15" hidden="false" customHeight="false" outlineLevel="0" collapsed="false">
      <c r="A207" s="3" t="n">
        <v>206</v>
      </c>
      <c r="B207" s="3" t="s">
        <v>285</v>
      </c>
      <c r="C207" s="3" t="s">
        <v>50</v>
      </c>
      <c r="D207" s="3" t="s">
        <v>219</v>
      </c>
      <c r="E207" s="3" t="s">
        <v>219</v>
      </c>
      <c r="F207" s="4" t="s">
        <v>51</v>
      </c>
      <c r="G207" s="4" t="s">
        <v>52</v>
      </c>
      <c r="H207" s="5" t="n">
        <f aca="false">IFERROR(INDEX(Ksat_Lookup!$B$9:$B$18,MATCH(F207,Ksat_Lookup!$A$9:$A$18,0)),"")</f>
        <v>-14.1</v>
      </c>
      <c r="I207" s="6" t="n">
        <f aca="false">IF(H207="","",10^H207*Ksat_Lookup!$B$5)</f>
        <v>7.79235998264521E-008</v>
      </c>
      <c r="J207" s="6" t="n">
        <f aca="false">IF(I207="","",I207*Ksat_Lookup!$B$6)</f>
        <v>0.00673259902500546</v>
      </c>
      <c r="K207" s="4"/>
      <c r="L207" s="6"/>
    </row>
    <row r="208" customFormat="false" ht="15" hidden="false" customHeight="false" outlineLevel="0" collapsed="false">
      <c r="A208" s="3" t="n">
        <v>207</v>
      </c>
      <c r="B208" s="3" t="s">
        <v>286</v>
      </c>
      <c r="C208" s="3" t="s">
        <v>50</v>
      </c>
      <c r="D208" s="3" t="s">
        <v>287</v>
      </c>
      <c r="E208" s="3" t="s">
        <v>287</v>
      </c>
      <c r="F208" s="4" t="s">
        <v>51</v>
      </c>
      <c r="G208" s="4" t="s">
        <v>52</v>
      </c>
      <c r="H208" s="5" t="n">
        <f aca="false">IFERROR(INDEX(Ksat_Lookup!$B$9:$B$18,MATCH(F208,Ksat_Lookup!$A$9:$A$18,0)),"")</f>
        <v>-14.1</v>
      </c>
      <c r="I208" s="6" t="n">
        <f aca="false">IF(H208="","",10^H208*Ksat_Lookup!$B$5)</f>
        <v>7.79235998264521E-008</v>
      </c>
      <c r="J208" s="6" t="n">
        <f aca="false">IF(I208="","",I208*Ksat_Lookup!$B$6)</f>
        <v>0.00673259902500546</v>
      </c>
      <c r="K208" s="4"/>
      <c r="L208" s="6"/>
    </row>
    <row r="209" customFormat="false" ht="15" hidden="false" customHeight="false" outlineLevel="0" collapsed="false">
      <c r="A209" s="3" t="n">
        <v>208</v>
      </c>
      <c r="B209" s="3" t="s">
        <v>288</v>
      </c>
      <c r="C209" s="3" t="s">
        <v>19</v>
      </c>
      <c r="D209" s="3" t="s">
        <v>208</v>
      </c>
      <c r="E209" s="3" t="s">
        <v>208</v>
      </c>
      <c r="F209" s="4" t="s">
        <v>22</v>
      </c>
      <c r="G209" s="4" t="s">
        <v>23</v>
      </c>
      <c r="H209" s="5" t="n">
        <f aca="false">IFERROR(INDEX(Ksat_Lookup!$B$9:$B$18,MATCH(F209,Ksat_Lookup!$A$9:$A$18,0)),"")</f>
        <v>-15.2</v>
      </c>
      <c r="I209" s="6" t="n">
        <f aca="false">IF(H209="","",10^H209*Ksat_Lookup!$B$5)</f>
        <v>6.18969154935071E-009</v>
      </c>
      <c r="J209" s="6" t="n">
        <f aca="false">IF(I209="","",I209*Ksat_Lookup!$B$6)</f>
        <v>0.000534789349863901</v>
      </c>
      <c r="K209" s="4"/>
      <c r="L209" s="6"/>
    </row>
    <row r="210" customFormat="false" ht="15" hidden="false" customHeight="false" outlineLevel="0" collapsed="false">
      <c r="A210" s="3" t="n">
        <v>209</v>
      </c>
      <c r="B210" s="3" t="s">
        <v>289</v>
      </c>
      <c r="C210" s="3" t="s">
        <v>19</v>
      </c>
      <c r="D210" s="3" t="s">
        <v>290</v>
      </c>
      <c r="E210" s="3" t="s">
        <v>290</v>
      </c>
      <c r="F210" s="4" t="s">
        <v>22</v>
      </c>
      <c r="G210" s="4" t="s">
        <v>23</v>
      </c>
      <c r="H210" s="5" t="n">
        <f aca="false">IFERROR(INDEX(Ksat_Lookup!$B$9:$B$18,MATCH(F210,Ksat_Lookup!$A$9:$A$18,0)),"")</f>
        <v>-15.2</v>
      </c>
      <c r="I210" s="6" t="n">
        <f aca="false">IF(H210="","",10^H210*Ksat_Lookup!$B$5)</f>
        <v>6.18969154935071E-009</v>
      </c>
      <c r="J210" s="6" t="n">
        <f aca="false">IF(I210="","",I210*Ksat_Lookup!$B$6)</f>
        <v>0.000534789349863901</v>
      </c>
      <c r="K210" s="4"/>
      <c r="L210" s="6"/>
    </row>
    <row r="211" customFormat="false" ht="15" hidden="false" customHeight="false" outlineLevel="0" collapsed="false">
      <c r="A211" s="3" t="n">
        <v>210</v>
      </c>
      <c r="B211" s="3" t="s">
        <v>291</v>
      </c>
      <c r="C211" s="3" t="s">
        <v>19</v>
      </c>
      <c r="D211" s="3" t="s">
        <v>292</v>
      </c>
      <c r="E211" s="3" t="s">
        <v>292</v>
      </c>
      <c r="F211" s="4" t="s">
        <v>22</v>
      </c>
      <c r="G211" s="4" t="s">
        <v>23</v>
      </c>
      <c r="H211" s="5" t="n">
        <f aca="false">IFERROR(INDEX(Ksat_Lookup!$B$9:$B$18,MATCH(F211,Ksat_Lookup!$A$9:$A$18,0)),"")</f>
        <v>-15.2</v>
      </c>
      <c r="I211" s="6" t="n">
        <f aca="false">IF(H211="","",10^H211*Ksat_Lookup!$B$5)</f>
        <v>6.18969154935071E-009</v>
      </c>
      <c r="J211" s="6" t="n">
        <f aca="false">IF(I211="","",I211*Ksat_Lookup!$B$6)</f>
        <v>0.000534789349863901</v>
      </c>
      <c r="K211" s="4"/>
      <c r="L211" s="6"/>
    </row>
    <row r="212" customFormat="false" ht="15" hidden="false" customHeight="false" outlineLevel="0" collapsed="false">
      <c r="A212" s="3" t="n">
        <v>211</v>
      </c>
      <c r="B212" s="3" t="s">
        <v>293</v>
      </c>
      <c r="C212" s="3" t="s">
        <v>50</v>
      </c>
      <c r="D212" s="3" t="s">
        <v>219</v>
      </c>
      <c r="E212" s="3" t="s">
        <v>219</v>
      </c>
      <c r="F212" s="4" t="s">
        <v>51</v>
      </c>
      <c r="G212" s="4" t="s">
        <v>52</v>
      </c>
      <c r="H212" s="5" t="n">
        <f aca="false">IFERROR(INDEX(Ksat_Lookup!$B$9:$B$18,MATCH(F212,Ksat_Lookup!$A$9:$A$18,0)),"")</f>
        <v>-14.1</v>
      </c>
      <c r="I212" s="6" t="n">
        <f aca="false">IF(H212="","",10^H212*Ksat_Lookup!$B$5)</f>
        <v>7.79235998264521E-008</v>
      </c>
      <c r="J212" s="6" t="n">
        <f aca="false">IF(I212="","",I212*Ksat_Lookup!$B$6)</f>
        <v>0.00673259902500546</v>
      </c>
      <c r="K212" s="4"/>
      <c r="L212" s="6"/>
    </row>
    <row r="213" customFormat="false" ht="15" hidden="false" customHeight="false" outlineLevel="0" collapsed="false">
      <c r="A213" s="3" t="n">
        <v>212</v>
      </c>
      <c r="B213" s="3" t="s">
        <v>294</v>
      </c>
      <c r="C213" s="3" t="s">
        <v>19</v>
      </c>
      <c r="D213" s="3" t="s">
        <v>108</v>
      </c>
      <c r="E213" s="3" t="s">
        <v>108</v>
      </c>
      <c r="F213" s="4" t="s">
        <v>22</v>
      </c>
      <c r="G213" s="4" t="s">
        <v>23</v>
      </c>
      <c r="H213" s="5" t="n">
        <f aca="false">IFERROR(INDEX(Ksat_Lookup!$B$9:$B$18,MATCH(F213,Ksat_Lookup!$A$9:$A$18,0)),"")</f>
        <v>-15.2</v>
      </c>
      <c r="I213" s="6" t="n">
        <f aca="false">IF(H213="","",10^H213*Ksat_Lookup!$B$5)</f>
        <v>6.18969154935071E-009</v>
      </c>
      <c r="J213" s="6" t="n">
        <f aca="false">IF(I213="","",I213*Ksat_Lookup!$B$6)</f>
        <v>0.000534789349863901</v>
      </c>
      <c r="K213" s="4"/>
      <c r="L213" s="6"/>
    </row>
    <row r="214" customFormat="false" ht="15" hidden="false" customHeight="false" outlineLevel="0" collapsed="false">
      <c r="A214" s="3" t="n">
        <v>213</v>
      </c>
      <c r="B214" s="3" t="s">
        <v>295</v>
      </c>
      <c r="C214" s="3" t="s">
        <v>50</v>
      </c>
      <c r="D214" s="3" t="s">
        <v>208</v>
      </c>
      <c r="E214" s="3" t="s">
        <v>208</v>
      </c>
      <c r="F214" s="4" t="s">
        <v>51</v>
      </c>
      <c r="G214" s="4" t="s">
        <v>52</v>
      </c>
      <c r="H214" s="5" t="n">
        <f aca="false">IFERROR(INDEX(Ksat_Lookup!$B$9:$B$18,MATCH(F214,Ksat_Lookup!$A$9:$A$18,0)),"")</f>
        <v>-14.1</v>
      </c>
      <c r="I214" s="6" t="n">
        <f aca="false">IF(H214="","",10^H214*Ksat_Lookup!$B$5)</f>
        <v>7.79235998264521E-008</v>
      </c>
      <c r="J214" s="6" t="n">
        <f aca="false">IF(I214="","",I214*Ksat_Lookup!$B$6)</f>
        <v>0.00673259902500546</v>
      </c>
      <c r="K214" s="4"/>
      <c r="L214" s="6"/>
    </row>
    <row r="215" customFormat="false" ht="15" hidden="false" customHeight="false" outlineLevel="0" collapsed="false">
      <c r="A215" s="3" t="n">
        <v>214</v>
      </c>
      <c r="B215" s="3" t="s">
        <v>296</v>
      </c>
      <c r="C215" s="3" t="s">
        <v>19</v>
      </c>
      <c r="D215" s="3" t="s">
        <v>297</v>
      </c>
      <c r="E215" s="3" t="s">
        <v>297</v>
      </c>
      <c r="F215" s="4" t="s">
        <v>22</v>
      </c>
      <c r="G215" s="4" t="s">
        <v>23</v>
      </c>
      <c r="H215" s="5" t="n">
        <f aca="false">IFERROR(INDEX(Ksat_Lookup!$B$9:$B$18,MATCH(F215,Ksat_Lookup!$A$9:$A$18,0)),"")</f>
        <v>-15.2</v>
      </c>
      <c r="I215" s="6" t="n">
        <f aca="false">IF(H215="","",10^H215*Ksat_Lookup!$B$5)</f>
        <v>6.18969154935071E-009</v>
      </c>
      <c r="J215" s="6" t="n">
        <f aca="false">IF(I215="","",I215*Ksat_Lookup!$B$6)</f>
        <v>0.000534789349863901</v>
      </c>
      <c r="K215" s="4"/>
      <c r="L215" s="6"/>
    </row>
    <row r="216" customFormat="false" ht="15" hidden="false" customHeight="false" outlineLevel="0" collapsed="false">
      <c r="A216" s="3" t="n">
        <v>215</v>
      </c>
      <c r="B216" s="3" t="s">
        <v>298</v>
      </c>
      <c r="C216" s="3" t="s">
        <v>13</v>
      </c>
      <c r="D216" s="3" t="s">
        <v>219</v>
      </c>
      <c r="E216" s="3" t="s">
        <v>219</v>
      </c>
      <c r="F216" s="4" t="s">
        <v>15</v>
      </c>
      <c r="G216" s="4" t="s">
        <v>277</v>
      </c>
      <c r="H216" s="5" t="n">
        <f aca="false">IFERROR(INDEX(Ksat_Lookup!$B$9:$B$18,MATCH(F216,Ksat_Lookup!$A$9:$A$18,0)),"")</f>
        <v>-12.5</v>
      </c>
      <c r="I216" s="6" t="n">
        <f aca="false">IF(H216="","",10^H216*Ksat_Lookup!$B$5)</f>
        <v>3.10219438462518E-006</v>
      </c>
      <c r="J216" s="6" t="n">
        <f aca="false">IF(I216="","",I216*Ksat_Lookup!$B$6)</f>
        <v>0.268029594831616</v>
      </c>
      <c r="K216" s="4" t="s">
        <v>51</v>
      </c>
      <c r="L216" s="6" t="n">
        <f aca="false">10^INDEX(Ksat_Lookup!$B$9:$B$18,MATCH(K216,Ksat_Lookup!$A$9:$A$18,0))*Ksat_Lookup!$B$5*Ksat_Lookup!$B$6</f>
        <v>0.00673259902500546</v>
      </c>
    </row>
    <row r="217" customFormat="false" ht="15" hidden="false" customHeight="false" outlineLevel="0" collapsed="false">
      <c r="A217" s="3" t="n">
        <v>216</v>
      </c>
      <c r="B217" s="3" t="s">
        <v>299</v>
      </c>
      <c r="C217" s="3" t="s">
        <v>13</v>
      </c>
      <c r="D217" s="3" t="s">
        <v>193</v>
      </c>
      <c r="E217" s="3" t="s">
        <v>193</v>
      </c>
      <c r="F217" s="4" t="s">
        <v>15</v>
      </c>
      <c r="G217" s="4" t="s">
        <v>277</v>
      </c>
      <c r="H217" s="5" t="n">
        <f aca="false">IFERROR(INDEX(Ksat_Lookup!$B$9:$B$18,MATCH(F217,Ksat_Lookup!$A$9:$A$18,0)),"")</f>
        <v>-12.5</v>
      </c>
      <c r="I217" s="6" t="n">
        <f aca="false">IF(H217="","",10^H217*Ksat_Lookup!$B$5)</f>
        <v>3.10219438462518E-006</v>
      </c>
      <c r="J217" s="6" t="n">
        <f aca="false">IF(I217="","",I217*Ksat_Lookup!$B$6)</f>
        <v>0.268029594831616</v>
      </c>
      <c r="K217" s="4" t="s">
        <v>51</v>
      </c>
      <c r="L217" s="6" t="n">
        <f aca="false">10^INDEX(Ksat_Lookup!$B$9:$B$18,MATCH(K217,Ksat_Lookup!$A$9:$A$18,0))*Ksat_Lookup!$B$5*Ksat_Lookup!$B$6</f>
        <v>0.00673259902500546</v>
      </c>
    </row>
    <row r="218" customFormat="false" ht="15" hidden="false" customHeight="false" outlineLevel="0" collapsed="false">
      <c r="A218" s="3" t="n">
        <v>217</v>
      </c>
      <c r="B218" s="3" t="s">
        <v>300</v>
      </c>
      <c r="C218" s="3" t="s">
        <v>19</v>
      </c>
      <c r="D218" s="3" t="s">
        <v>28</v>
      </c>
      <c r="E218" s="3" t="s">
        <v>200</v>
      </c>
      <c r="F218" s="4" t="s">
        <v>22</v>
      </c>
      <c r="G218" s="4" t="s">
        <v>23</v>
      </c>
      <c r="H218" s="5" t="n">
        <f aca="false">IFERROR(INDEX(Ksat_Lookup!$B$9:$B$18,MATCH(F218,Ksat_Lookup!$A$9:$A$18,0)),"")</f>
        <v>-15.2</v>
      </c>
      <c r="I218" s="6" t="n">
        <f aca="false">IF(H218="","",10^H218*Ksat_Lookup!$B$5)</f>
        <v>6.18969154935071E-009</v>
      </c>
      <c r="J218" s="6" t="n">
        <f aca="false">IF(I218="","",I218*Ksat_Lookup!$B$6)</f>
        <v>0.000534789349863901</v>
      </c>
      <c r="K218" s="4"/>
      <c r="L218" s="6"/>
    </row>
    <row r="219" customFormat="false" ht="15" hidden="false" customHeight="false" outlineLevel="0" collapsed="false">
      <c r="A219" s="3" t="n">
        <v>218</v>
      </c>
      <c r="B219" s="3" t="s">
        <v>301</v>
      </c>
      <c r="C219" s="3" t="s">
        <v>19</v>
      </c>
      <c r="D219" s="3" t="s">
        <v>193</v>
      </c>
      <c r="E219" s="3" t="s">
        <v>193</v>
      </c>
      <c r="F219" s="4" t="s">
        <v>22</v>
      </c>
      <c r="G219" s="4" t="s">
        <v>23</v>
      </c>
      <c r="H219" s="5" t="n">
        <f aca="false">IFERROR(INDEX(Ksat_Lookup!$B$9:$B$18,MATCH(F219,Ksat_Lookup!$A$9:$A$18,0)),"")</f>
        <v>-15.2</v>
      </c>
      <c r="I219" s="6" t="n">
        <f aca="false">IF(H219="","",10^H219*Ksat_Lookup!$B$5)</f>
        <v>6.18969154935071E-009</v>
      </c>
      <c r="J219" s="6" t="n">
        <f aca="false">IF(I219="","",I219*Ksat_Lookup!$B$6)</f>
        <v>0.000534789349863901</v>
      </c>
      <c r="K219" s="4"/>
      <c r="L219" s="6"/>
    </row>
    <row r="220" customFormat="false" ht="15" hidden="false" customHeight="false" outlineLevel="0" collapsed="false">
      <c r="A220" s="3" t="n">
        <v>219</v>
      </c>
      <c r="B220" s="3" t="s">
        <v>302</v>
      </c>
      <c r="C220" s="3" t="s">
        <v>13</v>
      </c>
      <c r="D220" s="3" t="s">
        <v>208</v>
      </c>
      <c r="E220" s="3" t="s">
        <v>208</v>
      </c>
      <c r="F220" s="4" t="s">
        <v>15</v>
      </c>
      <c r="G220" s="4" t="s">
        <v>277</v>
      </c>
      <c r="H220" s="5" t="n">
        <f aca="false">IFERROR(INDEX(Ksat_Lookup!$B$9:$B$18,MATCH(F220,Ksat_Lookup!$A$9:$A$18,0)),"")</f>
        <v>-12.5</v>
      </c>
      <c r="I220" s="6" t="n">
        <f aca="false">IF(H220="","",10^H220*Ksat_Lookup!$B$5)</f>
        <v>3.10219438462518E-006</v>
      </c>
      <c r="J220" s="6" t="n">
        <f aca="false">IF(I220="","",I220*Ksat_Lookup!$B$6)</f>
        <v>0.268029594831616</v>
      </c>
      <c r="K220" s="4" t="s">
        <v>51</v>
      </c>
      <c r="L220" s="6" t="n">
        <f aca="false">10^INDEX(Ksat_Lookup!$B$9:$B$18,MATCH(K220,Ksat_Lookup!$A$9:$A$18,0))*Ksat_Lookup!$B$5*Ksat_Lookup!$B$6</f>
        <v>0.00673259902500546</v>
      </c>
    </row>
    <row r="221" customFormat="false" ht="15" hidden="false" customHeight="false" outlineLevel="0" collapsed="false">
      <c r="A221" s="3" t="n">
        <v>220</v>
      </c>
      <c r="B221" s="3" t="s">
        <v>303</v>
      </c>
      <c r="C221" s="3" t="s">
        <v>19</v>
      </c>
      <c r="D221" s="3" t="s">
        <v>200</v>
      </c>
      <c r="E221" s="3" t="s">
        <v>200</v>
      </c>
      <c r="F221" s="4" t="s">
        <v>22</v>
      </c>
      <c r="G221" s="4" t="s">
        <v>23</v>
      </c>
      <c r="H221" s="5" t="n">
        <f aca="false">IFERROR(INDEX(Ksat_Lookup!$B$9:$B$18,MATCH(F221,Ksat_Lookup!$A$9:$A$18,0)),"")</f>
        <v>-15.2</v>
      </c>
      <c r="I221" s="6" t="n">
        <f aca="false">IF(H221="","",10^H221*Ksat_Lookup!$B$5)</f>
        <v>6.18969154935071E-009</v>
      </c>
      <c r="J221" s="6" t="n">
        <f aca="false">IF(I221="","",I221*Ksat_Lookup!$B$6)</f>
        <v>0.000534789349863901</v>
      </c>
      <c r="K221" s="4"/>
      <c r="L221" s="6"/>
    </row>
    <row r="222" customFormat="false" ht="15" hidden="false" customHeight="false" outlineLevel="0" collapsed="false">
      <c r="A222" s="3" t="n">
        <v>221</v>
      </c>
      <c r="B222" s="3" t="s">
        <v>304</v>
      </c>
      <c r="C222" s="3" t="s">
        <v>50</v>
      </c>
      <c r="D222" s="3" t="s">
        <v>193</v>
      </c>
      <c r="E222" s="3" t="s">
        <v>193</v>
      </c>
      <c r="F222" s="4" t="s">
        <v>51</v>
      </c>
      <c r="G222" s="4" t="s">
        <v>52</v>
      </c>
      <c r="H222" s="5" t="n">
        <f aca="false">IFERROR(INDEX(Ksat_Lookup!$B$9:$B$18,MATCH(F222,Ksat_Lookup!$A$9:$A$18,0)),"")</f>
        <v>-14.1</v>
      </c>
      <c r="I222" s="6" t="n">
        <f aca="false">IF(H222="","",10^H222*Ksat_Lookup!$B$5)</f>
        <v>7.79235998264521E-008</v>
      </c>
      <c r="J222" s="6" t="n">
        <f aca="false">IF(I222="","",I222*Ksat_Lookup!$B$6)</f>
        <v>0.00673259902500546</v>
      </c>
      <c r="K222" s="4"/>
      <c r="L222" s="6"/>
    </row>
    <row r="223" customFormat="false" ht="15" hidden="false" customHeight="false" outlineLevel="0" collapsed="false">
      <c r="A223" s="3" t="n">
        <v>222</v>
      </c>
      <c r="B223" s="3" t="s">
        <v>305</v>
      </c>
      <c r="C223" s="3" t="s">
        <v>50</v>
      </c>
      <c r="D223" s="3" t="s">
        <v>208</v>
      </c>
      <c r="E223" s="3" t="s">
        <v>208</v>
      </c>
      <c r="F223" s="4" t="s">
        <v>51</v>
      </c>
      <c r="G223" s="4" t="s">
        <v>52</v>
      </c>
      <c r="H223" s="5" t="n">
        <f aca="false">IFERROR(INDEX(Ksat_Lookup!$B$9:$B$18,MATCH(F223,Ksat_Lookup!$A$9:$A$18,0)),"")</f>
        <v>-14.1</v>
      </c>
      <c r="I223" s="6" t="n">
        <f aca="false">IF(H223="","",10^H223*Ksat_Lookup!$B$5)</f>
        <v>7.79235998264521E-008</v>
      </c>
      <c r="J223" s="6" t="n">
        <f aca="false">IF(I223="","",I223*Ksat_Lookup!$B$6)</f>
        <v>0.00673259902500546</v>
      </c>
      <c r="K223" s="4"/>
      <c r="L223" s="6"/>
    </row>
    <row r="224" customFormat="false" ht="15" hidden="false" customHeight="false" outlineLevel="0" collapsed="false">
      <c r="A224" s="3" t="n">
        <v>223</v>
      </c>
      <c r="B224" s="3" t="s">
        <v>306</v>
      </c>
      <c r="C224" s="3" t="s">
        <v>151</v>
      </c>
      <c r="D224" s="3" t="s">
        <v>208</v>
      </c>
      <c r="E224" s="3" t="s">
        <v>208</v>
      </c>
      <c r="F224" s="4" t="s">
        <v>51</v>
      </c>
      <c r="G224" s="4" t="s">
        <v>153</v>
      </c>
      <c r="H224" s="5" t="n">
        <f aca="false">IFERROR(INDEX(Ksat_Lookup!$B$9:$B$18,MATCH(F224,Ksat_Lookup!$A$9:$A$18,0)),"")</f>
        <v>-14.1</v>
      </c>
      <c r="I224" s="6" t="n">
        <f aca="false">IF(H224="","",10^H224*Ksat_Lookup!$B$5)</f>
        <v>7.79235998264521E-008</v>
      </c>
      <c r="J224" s="6" t="n">
        <f aca="false">IF(I224="","",I224*Ksat_Lookup!$B$6)</f>
        <v>0.00673259902500546</v>
      </c>
      <c r="K224" s="4"/>
      <c r="L224" s="6"/>
    </row>
    <row r="225" customFormat="false" ht="15" hidden="false" customHeight="false" outlineLevel="0" collapsed="false">
      <c r="A225" s="3" t="n">
        <v>224</v>
      </c>
      <c r="B225" s="3" t="s">
        <v>307</v>
      </c>
      <c r="C225" s="3" t="s">
        <v>151</v>
      </c>
      <c r="D225" s="3" t="s">
        <v>219</v>
      </c>
      <c r="E225" s="3" t="s">
        <v>219</v>
      </c>
      <c r="F225" s="4" t="s">
        <v>51</v>
      </c>
      <c r="G225" s="4" t="s">
        <v>153</v>
      </c>
      <c r="H225" s="5" t="n">
        <f aca="false">IFERROR(INDEX(Ksat_Lookup!$B$9:$B$18,MATCH(F225,Ksat_Lookup!$A$9:$A$18,0)),"")</f>
        <v>-14.1</v>
      </c>
      <c r="I225" s="6" t="n">
        <f aca="false">IF(H225="","",10^H225*Ksat_Lookup!$B$5)</f>
        <v>7.79235998264521E-008</v>
      </c>
      <c r="J225" s="6" t="n">
        <f aca="false">IF(I225="","",I225*Ksat_Lookup!$B$6)</f>
        <v>0.00673259902500546</v>
      </c>
      <c r="K225" s="4"/>
      <c r="L225" s="6"/>
    </row>
    <row r="226" customFormat="false" ht="15" hidden="false" customHeight="false" outlineLevel="0" collapsed="false">
      <c r="A226" s="3" t="n">
        <v>225</v>
      </c>
      <c r="B226" s="3" t="s">
        <v>308</v>
      </c>
      <c r="C226" s="3" t="s">
        <v>13</v>
      </c>
      <c r="D226" s="3" t="s">
        <v>208</v>
      </c>
      <c r="E226" s="3" t="s">
        <v>208</v>
      </c>
      <c r="F226" s="4" t="s">
        <v>15</v>
      </c>
      <c r="G226" s="4" t="s">
        <v>277</v>
      </c>
      <c r="H226" s="5" t="n">
        <f aca="false">IFERROR(INDEX(Ksat_Lookup!$B$9:$B$18,MATCH(F226,Ksat_Lookup!$A$9:$A$18,0)),"")</f>
        <v>-12.5</v>
      </c>
      <c r="I226" s="6" t="n">
        <f aca="false">IF(H226="","",10^H226*Ksat_Lookup!$B$5)</f>
        <v>3.10219438462518E-006</v>
      </c>
      <c r="J226" s="6" t="n">
        <f aca="false">IF(I226="","",I226*Ksat_Lookup!$B$6)</f>
        <v>0.268029594831616</v>
      </c>
      <c r="K226" s="4" t="s">
        <v>51</v>
      </c>
      <c r="L226" s="6" t="n">
        <f aca="false">10^INDEX(Ksat_Lookup!$B$9:$B$18,MATCH(K226,Ksat_Lookup!$A$9:$A$18,0))*Ksat_Lookup!$B$5*Ksat_Lookup!$B$6</f>
        <v>0.00673259902500546</v>
      </c>
    </row>
    <row r="227" customFormat="false" ht="15" hidden="false" customHeight="false" outlineLevel="0" collapsed="false">
      <c r="A227" s="3" t="n">
        <v>226</v>
      </c>
      <c r="B227" s="3" t="s">
        <v>309</v>
      </c>
      <c r="C227" s="3" t="s">
        <v>50</v>
      </c>
      <c r="D227" s="3" t="s">
        <v>193</v>
      </c>
      <c r="E227" s="3" t="s">
        <v>193</v>
      </c>
      <c r="F227" s="4" t="s">
        <v>51</v>
      </c>
      <c r="G227" s="4" t="s">
        <v>52</v>
      </c>
      <c r="H227" s="5" t="n">
        <f aca="false">IFERROR(INDEX(Ksat_Lookup!$B$9:$B$18,MATCH(F227,Ksat_Lookup!$A$9:$A$18,0)),"")</f>
        <v>-14.1</v>
      </c>
      <c r="I227" s="6" t="n">
        <f aca="false">IF(H227="","",10^H227*Ksat_Lookup!$B$5)</f>
        <v>7.79235998264521E-008</v>
      </c>
      <c r="J227" s="6" t="n">
        <f aca="false">IF(I227="","",I227*Ksat_Lookup!$B$6)</f>
        <v>0.00673259902500546</v>
      </c>
      <c r="K227" s="4"/>
      <c r="L227" s="6"/>
    </row>
    <row r="228" customFormat="false" ht="15" hidden="false" customHeight="false" outlineLevel="0" collapsed="false">
      <c r="A228" s="3" t="n">
        <v>227</v>
      </c>
      <c r="B228" s="3" t="s">
        <v>310</v>
      </c>
      <c r="C228" s="3" t="s">
        <v>13</v>
      </c>
      <c r="D228" s="3" t="s">
        <v>193</v>
      </c>
      <c r="E228" s="3" t="s">
        <v>193</v>
      </c>
      <c r="F228" s="4" t="s">
        <v>15</v>
      </c>
      <c r="G228" s="4" t="s">
        <v>277</v>
      </c>
      <c r="H228" s="5" t="n">
        <f aca="false">IFERROR(INDEX(Ksat_Lookup!$B$9:$B$18,MATCH(F228,Ksat_Lookup!$A$9:$A$18,0)),"")</f>
        <v>-12.5</v>
      </c>
      <c r="I228" s="6" t="n">
        <f aca="false">IF(H228="","",10^H228*Ksat_Lookup!$B$5)</f>
        <v>3.10219438462518E-006</v>
      </c>
      <c r="J228" s="6" t="n">
        <f aca="false">IF(I228="","",I228*Ksat_Lookup!$B$6)</f>
        <v>0.268029594831616</v>
      </c>
      <c r="K228" s="4" t="s">
        <v>51</v>
      </c>
      <c r="L228" s="6" t="n">
        <f aca="false">10^INDEX(Ksat_Lookup!$B$9:$B$18,MATCH(K228,Ksat_Lookup!$A$9:$A$18,0))*Ksat_Lookup!$B$5*Ksat_Lookup!$B$6</f>
        <v>0.00673259902500546</v>
      </c>
    </row>
    <row r="229" customFormat="false" ht="15" hidden="false" customHeight="false" outlineLevel="0" collapsed="false">
      <c r="A229" s="3" t="n">
        <v>228</v>
      </c>
      <c r="B229" s="3" t="s">
        <v>311</v>
      </c>
      <c r="C229" s="3" t="s">
        <v>19</v>
      </c>
      <c r="D229" s="3" t="s">
        <v>208</v>
      </c>
      <c r="E229" s="3" t="s">
        <v>208</v>
      </c>
      <c r="F229" s="4" t="s">
        <v>22</v>
      </c>
      <c r="G229" s="4" t="s">
        <v>23</v>
      </c>
      <c r="H229" s="5" t="n">
        <f aca="false">IFERROR(INDEX(Ksat_Lookup!$B$9:$B$18,MATCH(F229,Ksat_Lookup!$A$9:$A$18,0)),"")</f>
        <v>-15.2</v>
      </c>
      <c r="I229" s="6" t="n">
        <f aca="false">IF(H229="","",10^H229*Ksat_Lookup!$B$5)</f>
        <v>6.18969154935071E-009</v>
      </c>
      <c r="J229" s="6" t="n">
        <f aca="false">IF(I229="","",I229*Ksat_Lookup!$B$6)</f>
        <v>0.000534789349863901</v>
      </c>
      <c r="K229" s="4"/>
      <c r="L229" s="6"/>
    </row>
    <row r="230" customFormat="false" ht="15" hidden="false" customHeight="false" outlineLevel="0" collapsed="false">
      <c r="A230" s="3" t="n">
        <v>229</v>
      </c>
      <c r="B230" s="3" t="s">
        <v>312</v>
      </c>
      <c r="C230" s="3" t="s">
        <v>50</v>
      </c>
      <c r="D230" s="3" t="s">
        <v>193</v>
      </c>
      <c r="E230" s="3" t="s">
        <v>193</v>
      </c>
      <c r="F230" s="4" t="s">
        <v>51</v>
      </c>
      <c r="G230" s="4" t="s">
        <v>52</v>
      </c>
      <c r="H230" s="5" t="n">
        <f aca="false">IFERROR(INDEX(Ksat_Lookup!$B$9:$B$18,MATCH(F230,Ksat_Lookup!$A$9:$A$18,0)),"")</f>
        <v>-14.1</v>
      </c>
      <c r="I230" s="6" t="n">
        <f aca="false">IF(H230="","",10^H230*Ksat_Lookup!$B$5)</f>
        <v>7.79235998264521E-008</v>
      </c>
      <c r="J230" s="6" t="n">
        <f aca="false">IF(I230="","",I230*Ksat_Lookup!$B$6)</f>
        <v>0.00673259902500546</v>
      </c>
      <c r="K230" s="4"/>
      <c r="L230" s="6"/>
    </row>
    <row r="231" customFormat="false" ht="15" hidden="false" customHeight="false" outlineLevel="0" collapsed="false">
      <c r="A231" s="3" t="n">
        <v>230</v>
      </c>
      <c r="B231" s="3" t="s">
        <v>313</v>
      </c>
      <c r="C231" s="3" t="s">
        <v>19</v>
      </c>
      <c r="D231" s="3" t="s">
        <v>193</v>
      </c>
      <c r="E231" s="3" t="s">
        <v>193</v>
      </c>
      <c r="F231" s="4" t="s">
        <v>22</v>
      </c>
      <c r="G231" s="4" t="s">
        <v>23</v>
      </c>
      <c r="H231" s="5" t="n">
        <f aca="false">IFERROR(INDEX(Ksat_Lookup!$B$9:$B$18,MATCH(F231,Ksat_Lookup!$A$9:$A$18,0)),"")</f>
        <v>-15.2</v>
      </c>
      <c r="I231" s="6" t="n">
        <f aca="false">IF(H231="","",10^H231*Ksat_Lookup!$B$5)</f>
        <v>6.18969154935071E-009</v>
      </c>
      <c r="J231" s="6" t="n">
        <f aca="false">IF(I231="","",I231*Ksat_Lookup!$B$6)</f>
        <v>0.000534789349863901</v>
      </c>
      <c r="K231" s="4"/>
      <c r="L231" s="6"/>
    </row>
    <row r="232" customFormat="false" ht="15" hidden="false" customHeight="false" outlineLevel="0" collapsed="false">
      <c r="A232" s="3" t="n">
        <v>231</v>
      </c>
      <c r="B232" s="3" t="s">
        <v>314</v>
      </c>
      <c r="C232" s="3" t="s">
        <v>19</v>
      </c>
      <c r="D232" s="3" t="s">
        <v>269</v>
      </c>
      <c r="E232" s="3" t="s">
        <v>269</v>
      </c>
      <c r="F232" s="4" t="s">
        <v>22</v>
      </c>
      <c r="G232" s="4" t="s">
        <v>23</v>
      </c>
      <c r="H232" s="5" t="n">
        <f aca="false">IFERROR(INDEX(Ksat_Lookup!$B$9:$B$18,MATCH(F232,Ksat_Lookup!$A$9:$A$18,0)),"")</f>
        <v>-15.2</v>
      </c>
      <c r="I232" s="6" t="n">
        <f aca="false">IF(H232="","",10^H232*Ksat_Lookup!$B$5)</f>
        <v>6.18969154935071E-009</v>
      </c>
      <c r="J232" s="6" t="n">
        <f aca="false">IF(I232="","",I232*Ksat_Lookup!$B$6)</f>
        <v>0.000534789349863901</v>
      </c>
      <c r="K232" s="4"/>
      <c r="L232" s="6"/>
    </row>
    <row r="233" customFormat="false" ht="15" hidden="false" customHeight="false" outlineLevel="0" collapsed="false">
      <c r="A233" s="3" t="n">
        <v>232</v>
      </c>
      <c r="B233" s="3" t="s">
        <v>315</v>
      </c>
      <c r="C233" s="3" t="s">
        <v>13</v>
      </c>
      <c r="D233" s="3" t="s">
        <v>28</v>
      </c>
      <c r="E233" s="3" t="s">
        <v>28</v>
      </c>
      <c r="F233" s="4" t="s">
        <v>15</v>
      </c>
      <c r="G233" s="4" t="s">
        <v>15</v>
      </c>
      <c r="H233" s="5" t="n">
        <f aca="false">IFERROR(INDEX(Ksat_Lookup!$B$9:$B$18,MATCH(F233,Ksat_Lookup!$A$9:$A$18,0)),"")</f>
        <v>-12.5</v>
      </c>
      <c r="I233" s="6" t="n">
        <f aca="false">IF(H233="","",10^H233*Ksat_Lookup!$B$5)</f>
        <v>3.10219438462518E-006</v>
      </c>
      <c r="J233" s="6" t="n">
        <f aca="false">IF(I233="","",I233*Ksat_Lookup!$B$6)</f>
        <v>0.268029594831616</v>
      </c>
      <c r="K233" s="4"/>
      <c r="L233" s="6"/>
    </row>
    <row r="234" customFormat="false" ht="15" hidden="false" customHeight="false" outlineLevel="0" collapsed="false">
      <c r="A234" s="3" t="n">
        <v>233</v>
      </c>
      <c r="B234" s="3" t="s">
        <v>316</v>
      </c>
      <c r="C234" s="3" t="s">
        <v>13</v>
      </c>
      <c r="D234" s="3" t="s">
        <v>39</v>
      </c>
      <c r="E234" s="3" t="s">
        <v>39</v>
      </c>
      <c r="F234" s="4" t="s">
        <v>15</v>
      </c>
      <c r="G234" s="4" t="s">
        <v>15</v>
      </c>
      <c r="H234" s="5" t="n">
        <f aca="false">IFERROR(INDEX(Ksat_Lookup!$B$9:$B$18,MATCH(F234,Ksat_Lookup!$A$9:$A$18,0)),"")</f>
        <v>-12.5</v>
      </c>
      <c r="I234" s="6" t="n">
        <f aca="false">IF(H234="","",10^H234*Ksat_Lookup!$B$5)</f>
        <v>3.10219438462518E-006</v>
      </c>
      <c r="J234" s="6" t="n">
        <f aca="false">IF(I234="","",I234*Ksat_Lookup!$B$6)</f>
        <v>0.268029594831616</v>
      </c>
      <c r="K234" s="4"/>
      <c r="L234" s="6"/>
    </row>
    <row r="235" customFormat="false" ht="15" hidden="false" customHeight="false" outlineLevel="0" collapsed="false">
      <c r="A235" s="3" t="n">
        <v>234</v>
      </c>
      <c r="B235" s="3" t="s">
        <v>317</v>
      </c>
      <c r="C235" s="3" t="s">
        <v>13</v>
      </c>
      <c r="D235" s="3" t="s">
        <v>39</v>
      </c>
      <c r="E235" s="3" t="s">
        <v>39</v>
      </c>
      <c r="F235" s="4" t="s">
        <v>15</v>
      </c>
      <c r="G235" s="4" t="s">
        <v>15</v>
      </c>
      <c r="H235" s="5" t="n">
        <f aca="false">IFERROR(INDEX(Ksat_Lookup!$B$9:$B$18,MATCH(F235,Ksat_Lookup!$A$9:$A$18,0)),"")</f>
        <v>-12.5</v>
      </c>
      <c r="I235" s="6" t="n">
        <f aca="false">IF(H235="","",10^H235*Ksat_Lookup!$B$5)</f>
        <v>3.10219438462518E-006</v>
      </c>
      <c r="J235" s="6" t="n">
        <f aca="false">IF(I235="","",I235*Ksat_Lookup!$B$6)</f>
        <v>0.268029594831616</v>
      </c>
      <c r="K235" s="4"/>
      <c r="L235" s="6"/>
    </row>
    <row r="236" customFormat="false" ht="15" hidden="false" customHeight="false" outlineLevel="0" collapsed="false">
      <c r="A236" s="3" t="n">
        <v>235</v>
      </c>
      <c r="B236" s="3" t="s">
        <v>318</v>
      </c>
      <c r="C236" s="3" t="s">
        <v>50</v>
      </c>
      <c r="D236" s="3" t="s">
        <v>39</v>
      </c>
      <c r="E236" s="3" t="s">
        <v>39</v>
      </c>
      <c r="F236" s="4" t="s">
        <v>51</v>
      </c>
      <c r="G236" s="4" t="s">
        <v>52</v>
      </c>
      <c r="H236" s="5" t="n">
        <f aca="false">IFERROR(INDEX(Ksat_Lookup!$B$9:$B$18,MATCH(F236,Ksat_Lookup!$A$9:$A$18,0)),"")</f>
        <v>-14.1</v>
      </c>
      <c r="I236" s="6" t="n">
        <f aca="false">IF(H236="","",10^H236*Ksat_Lookup!$B$5)</f>
        <v>7.79235998264521E-008</v>
      </c>
      <c r="J236" s="6" t="n">
        <f aca="false">IF(I236="","",I236*Ksat_Lookup!$B$6)</f>
        <v>0.00673259902500546</v>
      </c>
      <c r="K236" s="4"/>
      <c r="L236" s="6"/>
    </row>
    <row r="237" customFormat="false" ht="15" hidden="false" customHeight="false" outlineLevel="0" collapsed="false">
      <c r="A237" s="3" t="n">
        <v>236</v>
      </c>
      <c r="B237" s="3" t="s">
        <v>319</v>
      </c>
      <c r="C237" s="3" t="s">
        <v>13</v>
      </c>
      <c r="D237" s="3" t="s">
        <v>108</v>
      </c>
      <c r="E237" s="3" t="s">
        <v>29</v>
      </c>
      <c r="F237" s="4" t="s">
        <v>34</v>
      </c>
      <c r="G237" s="4" t="s">
        <v>35</v>
      </c>
      <c r="H237" s="5" t="n">
        <f aca="false">IFERROR(INDEX(Ksat_Lookup!$B$9:$B$18,MATCH(F237,Ksat_Lookup!$A$9:$A$18,0)),"")</f>
        <v>-13.85</v>
      </c>
      <c r="I237" s="6" t="n">
        <f aca="false">IF(H237="","",10^H237*Ksat_Lookup!$B$5)</f>
        <v>1.38569933127492E-007</v>
      </c>
      <c r="J237" s="6" t="n">
        <f aca="false">IF(I237="","",I237*Ksat_Lookup!$B$6)</f>
        <v>0.0119724422222153</v>
      </c>
      <c r="K237" s="4"/>
      <c r="L237" s="6"/>
    </row>
    <row r="238" customFormat="false" ht="15" hidden="false" customHeight="false" outlineLevel="0" collapsed="false">
      <c r="A238" s="3" t="n">
        <v>237</v>
      </c>
      <c r="B238" s="3" t="s">
        <v>320</v>
      </c>
      <c r="C238" s="3" t="s">
        <v>50</v>
      </c>
      <c r="D238" s="3" t="s">
        <v>66</v>
      </c>
      <c r="E238" s="3" t="s">
        <v>108</v>
      </c>
      <c r="F238" s="4" t="s">
        <v>51</v>
      </c>
      <c r="G238" s="4" t="s">
        <v>52</v>
      </c>
      <c r="H238" s="5" t="n">
        <f aca="false">IFERROR(INDEX(Ksat_Lookup!$B$9:$B$18,MATCH(F238,Ksat_Lookup!$A$9:$A$18,0)),"")</f>
        <v>-14.1</v>
      </c>
      <c r="I238" s="6" t="n">
        <f aca="false">IF(H238="","",10^H238*Ksat_Lookup!$B$5)</f>
        <v>7.79235998264521E-008</v>
      </c>
      <c r="J238" s="6" t="n">
        <f aca="false">IF(I238="","",I238*Ksat_Lookup!$B$6)</f>
        <v>0.00673259902500546</v>
      </c>
      <c r="K238" s="4"/>
      <c r="L238" s="6"/>
    </row>
    <row r="239" customFormat="false" ht="15" hidden="false" customHeight="false" outlineLevel="0" collapsed="false">
      <c r="A239" s="3" t="n">
        <v>238</v>
      </c>
      <c r="B239" s="3" t="s">
        <v>321</v>
      </c>
      <c r="C239" s="3" t="s">
        <v>13</v>
      </c>
      <c r="D239" s="3" t="s">
        <v>39</v>
      </c>
      <c r="E239" s="3" t="s">
        <v>39</v>
      </c>
      <c r="F239" s="4" t="s">
        <v>34</v>
      </c>
      <c r="G239" s="4" t="s">
        <v>35</v>
      </c>
      <c r="H239" s="5" t="n">
        <f aca="false">IFERROR(INDEX(Ksat_Lookup!$B$9:$B$18,MATCH(F239,Ksat_Lookup!$A$9:$A$18,0)),"")</f>
        <v>-13.85</v>
      </c>
      <c r="I239" s="6" t="n">
        <f aca="false">IF(H239="","",10^H239*Ksat_Lookup!$B$5)</f>
        <v>1.38569933127492E-007</v>
      </c>
      <c r="J239" s="6" t="n">
        <f aca="false">IF(I239="","",I239*Ksat_Lookup!$B$6)</f>
        <v>0.0119724422222153</v>
      </c>
      <c r="K239" s="4"/>
      <c r="L239" s="6"/>
    </row>
    <row r="240" customFormat="false" ht="15" hidden="false" customHeight="false" outlineLevel="0" collapsed="false">
      <c r="A240" s="3" t="n">
        <v>239</v>
      </c>
      <c r="B240" s="3" t="s">
        <v>322</v>
      </c>
      <c r="C240" s="3" t="s">
        <v>151</v>
      </c>
      <c r="D240" s="3" t="s">
        <v>193</v>
      </c>
      <c r="E240" s="3" t="s">
        <v>193</v>
      </c>
      <c r="F240" s="4" t="s">
        <v>51</v>
      </c>
      <c r="G240" s="4" t="s">
        <v>153</v>
      </c>
      <c r="H240" s="5" t="n">
        <f aca="false">IFERROR(INDEX(Ksat_Lookup!$B$9:$B$18,MATCH(F240,Ksat_Lookup!$A$9:$A$18,0)),"")</f>
        <v>-14.1</v>
      </c>
      <c r="I240" s="6" t="n">
        <f aca="false">IF(H240="","",10^H240*Ksat_Lookup!$B$5)</f>
        <v>7.79235998264521E-008</v>
      </c>
      <c r="J240" s="6" t="n">
        <f aca="false">IF(I240="","",I240*Ksat_Lookup!$B$6)</f>
        <v>0.00673259902500546</v>
      </c>
      <c r="K240" s="4"/>
      <c r="L240" s="6"/>
    </row>
    <row r="241" customFormat="false" ht="15" hidden="false" customHeight="false" outlineLevel="0" collapsed="false">
      <c r="A241" s="3" t="n">
        <v>240</v>
      </c>
      <c r="B241" s="3" t="s">
        <v>323</v>
      </c>
      <c r="C241" s="3" t="s">
        <v>19</v>
      </c>
      <c r="D241" s="3" t="s">
        <v>324</v>
      </c>
      <c r="E241" s="3" t="s">
        <v>324</v>
      </c>
      <c r="F241" s="4" t="s">
        <v>22</v>
      </c>
      <c r="G241" s="4" t="s">
        <v>23</v>
      </c>
      <c r="H241" s="5" t="n">
        <f aca="false">IFERROR(INDEX(Ksat_Lookup!$B$9:$B$18,MATCH(F241,Ksat_Lookup!$A$9:$A$18,0)),"")</f>
        <v>-15.2</v>
      </c>
      <c r="I241" s="6" t="n">
        <f aca="false">IF(H241="","",10^H241*Ksat_Lookup!$B$5)</f>
        <v>6.18969154935071E-009</v>
      </c>
      <c r="J241" s="6" t="n">
        <f aca="false">IF(I241="","",I241*Ksat_Lookup!$B$6)</f>
        <v>0.000534789349863901</v>
      </c>
      <c r="K241" s="4"/>
      <c r="L241" s="6"/>
    </row>
    <row r="242" customFormat="false" ht="15" hidden="false" customHeight="false" outlineLevel="0" collapsed="false">
      <c r="A242" s="3" t="n">
        <v>241</v>
      </c>
      <c r="B242" s="3" t="s">
        <v>325</v>
      </c>
      <c r="C242" s="3" t="s">
        <v>19</v>
      </c>
      <c r="D242" s="3" t="s">
        <v>208</v>
      </c>
      <c r="E242" s="3" t="s">
        <v>208</v>
      </c>
      <c r="F242" s="4" t="s">
        <v>22</v>
      </c>
      <c r="G242" s="4" t="s">
        <v>23</v>
      </c>
      <c r="H242" s="5" t="n">
        <f aca="false">IFERROR(INDEX(Ksat_Lookup!$B$9:$B$18,MATCH(F242,Ksat_Lookup!$A$9:$A$18,0)),"")</f>
        <v>-15.2</v>
      </c>
      <c r="I242" s="6" t="n">
        <f aca="false">IF(H242="","",10^H242*Ksat_Lookup!$B$5)</f>
        <v>6.18969154935071E-009</v>
      </c>
      <c r="J242" s="6" t="n">
        <f aca="false">IF(I242="","",I242*Ksat_Lookup!$B$6)</f>
        <v>0.000534789349863901</v>
      </c>
      <c r="K242" s="4"/>
      <c r="L242" s="6"/>
    </row>
    <row r="243" customFormat="false" ht="15" hidden="false" customHeight="false" outlineLevel="0" collapsed="false">
      <c r="A243" s="3" t="n">
        <v>242</v>
      </c>
      <c r="B243" s="3" t="s">
        <v>326</v>
      </c>
      <c r="C243" s="3" t="s">
        <v>19</v>
      </c>
      <c r="D243" s="3" t="s">
        <v>39</v>
      </c>
      <c r="E243" s="3" t="s">
        <v>41</v>
      </c>
      <c r="F243" s="4" t="s">
        <v>22</v>
      </c>
      <c r="G243" s="4" t="s">
        <v>23</v>
      </c>
      <c r="H243" s="5" t="n">
        <f aca="false">IFERROR(INDEX(Ksat_Lookup!$B$9:$B$18,MATCH(F243,Ksat_Lookup!$A$9:$A$18,0)),"")</f>
        <v>-15.2</v>
      </c>
      <c r="I243" s="6" t="n">
        <f aca="false">IF(H243="","",10^H243*Ksat_Lookup!$B$5)</f>
        <v>6.18969154935071E-009</v>
      </c>
      <c r="J243" s="6" t="n">
        <f aca="false">IF(I243="","",I243*Ksat_Lookup!$B$6)</f>
        <v>0.000534789349863901</v>
      </c>
      <c r="K243" s="4"/>
      <c r="L243" s="6"/>
    </row>
    <row r="244" customFormat="false" ht="15" hidden="false" customHeight="false" outlineLevel="0" collapsed="false">
      <c r="A244" s="3" t="n">
        <v>243</v>
      </c>
      <c r="B244" s="3" t="s">
        <v>327</v>
      </c>
      <c r="C244" s="3" t="s">
        <v>50</v>
      </c>
      <c r="D244" s="3" t="s">
        <v>17</v>
      </c>
      <c r="E244" s="3" t="s">
        <v>17</v>
      </c>
      <c r="F244" s="4" t="s">
        <v>51</v>
      </c>
      <c r="G244" s="4" t="s">
        <v>52</v>
      </c>
      <c r="H244" s="5" t="n">
        <f aca="false">IFERROR(INDEX(Ksat_Lookup!$B$9:$B$18,MATCH(F244,Ksat_Lookup!$A$9:$A$18,0)),"")</f>
        <v>-14.1</v>
      </c>
      <c r="I244" s="6" t="n">
        <f aca="false">IF(H244="","",10^H244*Ksat_Lookup!$B$5)</f>
        <v>7.79235998264521E-008</v>
      </c>
      <c r="J244" s="6" t="n">
        <f aca="false">IF(I244="","",I244*Ksat_Lookup!$B$6)</f>
        <v>0.00673259902500546</v>
      </c>
      <c r="K244" s="4"/>
      <c r="L244" s="6"/>
    </row>
    <row r="245" customFormat="false" ht="15" hidden="false" customHeight="false" outlineLevel="0" collapsed="false">
      <c r="A245" s="3" t="n">
        <v>244</v>
      </c>
      <c r="B245" s="3" t="s">
        <v>328</v>
      </c>
      <c r="C245" s="3" t="s">
        <v>50</v>
      </c>
      <c r="D245" s="3" t="s">
        <v>37</v>
      </c>
      <c r="E245" s="3" t="s">
        <v>37</v>
      </c>
      <c r="F245" s="4" t="s">
        <v>51</v>
      </c>
      <c r="G245" s="4" t="s">
        <v>52</v>
      </c>
      <c r="H245" s="5" t="n">
        <f aca="false">IFERROR(INDEX(Ksat_Lookup!$B$9:$B$18,MATCH(F245,Ksat_Lookup!$A$9:$A$18,0)),"")</f>
        <v>-14.1</v>
      </c>
      <c r="I245" s="6" t="n">
        <f aca="false">IF(H245="","",10^H245*Ksat_Lookup!$B$5)</f>
        <v>7.79235998264521E-008</v>
      </c>
      <c r="J245" s="6" t="n">
        <f aca="false">IF(I245="","",I245*Ksat_Lookup!$B$6)</f>
        <v>0.00673259902500546</v>
      </c>
      <c r="K245" s="4"/>
      <c r="L245" s="6"/>
    </row>
    <row r="246" customFormat="false" ht="15" hidden="false" customHeight="false" outlineLevel="0" collapsed="false">
      <c r="A246" s="3" t="n">
        <v>245</v>
      </c>
      <c r="B246" s="3" t="s">
        <v>329</v>
      </c>
      <c r="C246" s="3" t="s">
        <v>13</v>
      </c>
      <c r="D246" s="3" t="s">
        <v>108</v>
      </c>
      <c r="E246" s="3" t="s">
        <v>108</v>
      </c>
      <c r="F246" s="4" t="s">
        <v>15</v>
      </c>
      <c r="G246" s="4" t="s">
        <v>15</v>
      </c>
      <c r="H246" s="5" t="n">
        <f aca="false">IFERROR(INDEX(Ksat_Lookup!$B$9:$B$18,MATCH(F246,Ksat_Lookup!$A$9:$A$18,0)),"")</f>
        <v>-12.5</v>
      </c>
      <c r="I246" s="6" t="n">
        <f aca="false">IF(H246="","",10^H246*Ksat_Lookup!$B$5)</f>
        <v>3.10219438462518E-006</v>
      </c>
      <c r="J246" s="6" t="n">
        <f aca="false">IF(I246="","",I246*Ksat_Lookup!$B$6)</f>
        <v>0.268029594831616</v>
      </c>
      <c r="K246" s="4"/>
      <c r="L246" s="6"/>
    </row>
    <row r="247" customFormat="false" ht="15" hidden="false" customHeight="false" outlineLevel="0" collapsed="false">
      <c r="A247" s="3" t="n">
        <v>246</v>
      </c>
      <c r="B247" s="3" t="s">
        <v>330</v>
      </c>
      <c r="C247" s="3" t="s">
        <v>13</v>
      </c>
      <c r="D247" s="3" t="s">
        <v>219</v>
      </c>
      <c r="E247" s="3" t="s">
        <v>219</v>
      </c>
      <c r="F247" s="4" t="s">
        <v>15</v>
      </c>
      <c r="G247" s="4" t="s">
        <v>277</v>
      </c>
      <c r="H247" s="5" t="n">
        <f aca="false">IFERROR(INDEX(Ksat_Lookup!$B$9:$B$18,MATCH(F247,Ksat_Lookup!$A$9:$A$18,0)),"")</f>
        <v>-12.5</v>
      </c>
      <c r="I247" s="6" t="n">
        <f aca="false">IF(H247="","",10^H247*Ksat_Lookup!$B$5)</f>
        <v>3.10219438462518E-006</v>
      </c>
      <c r="J247" s="6" t="n">
        <f aca="false">IF(I247="","",I247*Ksat_Lookup!$B$6)</f>
        <v>0.268029594831616</v>
      </c>
      <c r="K247" s="4" t="s">
        <v>51</v>
      </c>
      <c r="L247" s="6" t="n">
        <f aca="false">10^INDEX(Ksat_Lookup!$B$9:$B$18,MATCH(K247,Ksat_Lookup!$A$9:$A$18,0))*Ksat_Lookup!$B$5*Ksat_Lookup!$B$6</f>
        <v>0.00673259902500546</v>
      </c>
    </row>
    <row r="248" customFormat="false" ht="15" hidden="false" customHeight="false" outlineLevel="0" collapsed="false">
      <c r="A248" s="3" t="n">
        <v>247</v>
      </c>
      <c r="B248" s="3" t="s">
        <v>331</v>
      </c>
      <c r="C248" s="3" t="s">
        <v>50</v>
      </c>
      <c r="D248" s="3" t="s">
        <v>219</v>
      </c>
      <c r="E248" s="3" t="s">
        <v>219</v>
      </c>
      <c r="F248" s="4" t="s">
        <v>51</v>
      </c>
      <c r="G248" s="4" t="s">
        <v>52</v>
      </c>
      <c r="H248" s="5" t="n">
        <f aca="false">IFERROR(INDEX(Ksat_Lookup!$B$9:$B$18,MATCH(F248,Ksat_Lookup!$A$9:$A$18,0)),"")</f>
        <v>-14.1</v>
      </c>
      <c r="I248" s="6" t="n">
        <f aca="false">IF(H248="","",10^H248*Ksat_Lookup!$B$5)</f>
        <v>7.79235998264521E-008</v>
      </c>
      <c r="J248" s="6" t="n">
        <f aca="false">IF(I248="","",I248*Ksat_Lookup!$B$6)</f>
        <v>0.00673259902500546</v>
      </c>
      <c r="K248" s="4"/>
      <c r="L248" s="6"/>
    </row>
    <row r="249" customFormat="false" ht="15" hidden="false" customHeight="false" outlineLevel="0" collapsed="false">
      <c r="A249" s="3" t="n">
        <v>248</v>
      </c>
      <c r="B249" s="3" t="s">
        <v>332</v>
      </c>
      <c r="C249" s="3" t="s">
        <v>19</v>
      </c>
      <c r="D249" s="3" t="s">
        <v>145</v>
      </c>
      <c r="E249" s="3" t="s">
        <v>145</v>
      </c>
      <c r="F249" s="4" t="s">
        <v>22</v>
      </c>
      <c r="G249" s="4" t="s">
        <v>23</v>
      </c>
      <c r="H249" s="5" t="n">
        <f aca="false">IFERROR(INDEX(Ksat_Lookup!$B$9:$B$18,MATCH(F249,Ksat_Lookup!$A$9:$A$18,0)),"")</f>
        <v>-15.2</v>
      </c>
      <c r="I249" s="6" t="n">
        <f aca="false">IF(H249="","",10^H249*Ksat_Lookup!$B$5)</f>
        <v>6.18969154935071E-009</v>
      </c>
      <c r="J249" s="6" t="n">
        <f aca="false">IF(I249="","",I249*Ksat_Lookup!$B$6)</f>
        <v>0.000534789349863901</v>
      </c>
      <c r="K249" s="4"/>
      <c r="L249" s="6"/>
    </row>
    <row r="250" customFormat="false" ht="15" hidden="false" customHeight="false" outlineLevel="0" collapsed="false">
      <c r="A250" s="3" t="n">
        <v>249</v>
      </c>
      <c r="B250" s="3" t="s">
        <v>333</v>
      </c>
      <c r="C250" s="3" t="s">
        <v>50</v>
      </c>
      <c r="D250" s="3" t="s">
        <v>208</v>
      </c>
      <c r="E250" s="3" t="s">
        <v>208</v>
      </c>
      <c r="F250" s="4" t="s">
        <v>51</v>
      </c>
      <c r="G250" s="4" t="s">
        <v>52</v>
      </c>
      <c r="H250" s="5" t="n">
        <f aca="false">IFERROR(INDEX(Ksat_Lookup!$B$9:$B$18,MATCH(F250,Ksat_Lookup!$A$9:$A$18,0)),"")</f>
        <v>-14.1</v>
      </c>
      <c r="I250" s="6" t="n">
        <f aca="false">IF(H250="","",10^H250*Ksat_Lookup!$B$5)</f>
        <v>7.79235998264521E-008</v>
      </c>
      <c r="J250" s="6" t="n">
        <f aca="false">IF(I250="","",I250*Ksat_Lookup!$B$6)</f>
        <v>0.00673259902500546</v>
      </c>
      <c r="K250" s="4"/>
      <c r="L250" s="6"/>
    </row>
    <row r="251" customFormat="false" ht="15" hidden="false" customHeight="false" outlineLevel="0" collapsed="false">
      <c r="A251" s="3" t="n">
        <v>250</v>
      </c>
      <c r="B251" s="3" t="s">
        <v>334</v>
      </c>
      <c r="C251" s="3" t="s">
        <v>13</v>
      </c>
      <c r="D251" s="3" t="s">
        <v>29</v>
      </c>
      <c r="E251" s="3" t="s">
        <v>29</v>
      </c>
      <c r="F251" s="4" t="s">
        <v>15</v>
      </c>
      <c r="G251" s="4" t="s">
        <v>277</v>
      </c>
      <c r="H251" s="5" t="n">
        <f aca="false">IFERROR(INDEX(Ksat_Lookup!$B$9:$B$18,MATCH(F251,Ksat_Lookup!$A$9:$A$18,0)),"")</f>
        <v>-12.5</v>
      </c>
      <c r="I251" s="6" t="n">
        <f aca="false">IF(H251="","",10^H251*Ksat_Lookup!$B$5)</f>
        <v>3.10219438462518E-006</v>
      </c>
      <c r="J251" s="6" t="n">
        <f aca="false">IF(I251="","",I251*Ksat_Lookup!$B$6)</f>
        <v>0.268029594831616</v>
      </c>
      <c r="K251" s="4" t="s">
        <v>51</v>
      </c>
      <c r="L251" s="6" t="n">
        <f aca="false">10^INDEX(Ksat_Lookup!$B$9:$B$18,MATCH(K251,Ksat_Lookup!$A$9:$A$18,0))*Ksat_Lookup!$B$5*Ksat_Lookup!$B$6</f>
        <v>0.00673259902500546</v>
      </c>
    </row>
    <row r="252" customFormat="false" ht="15" hidden="false" customHeight="false" outlineLevel="0" collapsed="false">
      <c r="A252" s="3" t="n">
        <v>251</v>
      </c>
      <c r="B252" s="3" t="s">
        <v>335</v>
      </c>
      <c r="C252" s="3" t="s">
        <v>13</v>
      </c>
      <c r="D252" s="3" t="s">
        <v>29</v>
      </c>
      <c r="E252" s="3" t="s">
        <v>29</v>
      </c>
      <c r="F252" s="4" t="s">
        <v>15</v>
      </c>
      <c r="G252" s="4" t="s">
        <v>277</v>
      </c>
      <c r="H252" s="5" t="n">
        <f aca="false">IFERROR(INDEX(Ksat_Lookup!$B$9:$B$18,MATCH(F252,Ksat_Lookup!$A$9:$A$18,0)),"")</f>
        <v>-12.5</v>
      </c>
      <c r="I252" s="6" t="n">
        <f aca="false">IF(H252="","",10^H252*Ksat_Lookup!$B$5)</f>
        <v>3.10219438462518E-006</v>
      </c>
      <c r="J252" s="6" t="n">
        <f aca="false">IF(I252="","",I252*Ksat_Lookup!$B$6)</f>
        <v>0.268029594831616</v>
      </c>
      <c r="K252" s="4" t="s">
        <v>51</v>
      </c>
      <c r="L252" s="6" t="n">
        <f aca="false">10^INDEX(Ksat_Lookup!$B$9:$B$18,MATCH(K252,Ksat_Lookup!$A$9:$A$18,0))*Ksat_Lookup!$B$5*Ksat_Lookup!$B$6</f>
        <v>0.00673259902500546</v>
      </c>
    </row>
    <row r="253" customFormat="false" ht="15" hidden="false" customHeight="false" outlineLevel="0" collapsed="false">
      <c r="A253" s="3" t="n">
        <v>252</v>
      </c>
      <c r="B253" s="3" t="s">
        <v>336</v>
      </c>
      <c r="C253" s="3" t="s">
        <v>50</v>
      </c>
      <c r="D253" s="3" t="s">
        <v>114</v>
      </c>
      <c r="E253" s="3" t="s">
        <v>137</v>
      </c>
      <c r="F253" s="4" t="s">
        <v>51</v>
      </c>
      <c r="G253" s="4" t="s">
        <v>52</v>
      </c>
      <c r="H253" s="5" t="n">
        <f aca="false">IFERROR(INDEX(Ksat_Lookup!$B$9:$B$18,MATCH(F253,Ksat_Lookup!$A$9:$A$18,0)),"")</f>
        <v>-14.1</v>
      </c>
      <c r="I253" s="6" t="n">
        <f aca="false">IF(H253="","",10^H253*Ksat_Lookup!$B$5)</f>
        <v>7.79235998264521E-008</v>
      </c>
      <c r="J253" s="6" t="n">
        <f aca="false">IF(I253="","",I253*Ksat_Lookup!$B$6)</f>
        <v>0.00673259902500546</v>
      </c>
      <c r="K253" s="4"/>
      <c r="L253" s="6"/>
    </row>
    <row r="254" customFormat="false" ht="15" hidden="false" customHeight="false" outlineLevel="0" collapsed="false">
      <c r="A254" s="3" t="n">
        <v>253</v>
      </c>
      <c r="B254" s="3" t="s">
        <v>337</v>
      </c>
      <c r="C254" s="3" t="s">
        <v>19</v>
      </c>
      <c r="D254" s="3" t="s">
        <v>338</v>
      </c>
      <c r="E254" s="3" t="s">
        <v>338</v>
      </c>
      <c r="F254" s="4" t="s">
        <v>22</v>
      </c>
      <c r="G254" s="4" t="s">
        <v>23</v>
      </c>
      <c r="H254" s="5" t="n">
        <f aca="false">IFERROR(INDEX(Ksat_Lookup!$B$9:$B$18,MATCH(F254,Ksat_Lookup!$A$9:$A$18,0)),"")</f>
        <v>-15.2</v>
      </c>
      <c r="I254" s="6" t="n">
        <f aca="false">IF(H254="","",10^H254*Ksat_Lookup!$B$5)</f>
        <v>6.18969154935071E-009</v>
      </c>
      <c r="J254" s="6" t="n">
        <f aca="false">IF(I254="","",I254*Ksat_Lookup!$B$6)</f>
        <v>0.000534789349863901</v>
      </c>
      <c r="K254" s="4"/>
      <c r="L254" s="6"/>
    </row>
    <row r="255" customFormat="false" ht="15" hidden="false" customHeight="false" outlineLevel="0" collapsed="false">
      <c r="A255" s="3" t="n">
        <v>254</v>
      </c>
      <c r="B255" s="3" t="s">
        <v>339</v>
      </c>
      <c r="C255" s="3" t="s">
        <v>19</v>
      </c>
      <c r="D255" s="3" t="s">
        <v>262</v>
      </c>
      <c r="E255" s="3" t="s">
        <v>262</v>
      </c>
      <c r="F255" s="4" t="s">
        <v>22</v>
      </c>
      <c r="G255" s="4" t="s">
        <v>23</v>
      </c>
      <c r="H255" s="5" t="n">
        <f aca="false">IFERROR(INDEX(Ksat_Lookup!$B$9:$B$18,MATCH(F255,Ksat_Lookup!$A$9:$A$18,0)),"")</f>
        <v>-15.2</v>
      </c>
      <c r="I255" s="6" t="n">
        <f aca="false">IF(H255="","",10^H255*Ksat_Lookup!$B$5)</f>
        <v>6.18969154935071E-009</v>
      </c>
      <c r="J255" s="6" t="n">
        <f aca="false">IF(I255="","",I255*Ksat_Lookup!$B$6)</f>
        <v>0.000534789349863901</v>
      </c>
      <c r="K255" s="4"/>
      <c r="L255" s="6"/>
    </row>
    <row r="256" customFormat="false" ht="15" hidden="false" customHeight="false" outlineLevel="0" collapsed="false">
      <c r="A256" s="3" t="n">
        <v>255</v>
      </c>
      <c r="B256" s="3" t="s">
        <v>340</v>
      </c>
      <c r="C256" s="3" t="s">
        <v>19</v>
      </c>
      <c r="D256" s="3" t="s">
        <v>264</v>
      </c>
      <c r="E256" s="3" t="s">
        <v>264</v>
      </c>
      <c r="F256" s="4" t="s">
        <v>22</v>
      </c>
      <c r="G256" s="4" t="s">
        <v>23</v>
      </c>
      <c r="H256" s="5" t="n">
        <f aca="false">IFERROR(INDEX(Ksat_Lookup!$B$9:$B$18,MATCH(F256,Ksat_Lookup!$A$9:$A$18,0)),"")</f>
        <v>-15.2</v>
      </c>
      <c r="I256" s="6" t="n">
        <f aca="false">IF(H256="","",10^H256*Ksat_Lookup!$B$5)</f>
        <v>6.18969154935071E-009</v>
      </c>
      <c r="J256" s="6" t="n">
        <f aca="false">IF(I256="","",I256*Ksat_Lookup!$B$6)</f>
        <v>0.000534789349863901</v>
      </c>
      <c r="K256" s="4"/>
      <c r="L256" s="6"/>
    </row>
    <row r="257" customFormat="false" ht="15" hidden="false" customHeight="false" outlineLevel="0" collapsed="false">
      <c r="A257" s="3" t="n">
        <v>256</v>
      </c>
      <c r="B257" s="3" t="s">
        <v>341</v>
      </c>
      <c r="C257" s="3" t="s">
        <v>13</v>
      </c>
      <c r="D257" s="3" t="s">
        <v>108</v>
      </c>
      <c r="E257" s="3" t="s">
        <v>29</v>
      </c>
      <c r="F257" s="4" t="s">
        <v>15</v>
      </c>
      <c r="G257" s="4" t="s">
        <v>277</v>
      </c>
      <c r="H257" s="5" t="n">
        <f aca="false">IFERROR(INDEX(Ksat_Lookup!$B$9:$B$18,MATCH(F257,Ksat_Lookup!$A$9:$A$18,0)),"")</f>
        <v>-12.5</v>
      </c>
      <c r="I257" s="6" t="n">
        <f aca="false">IF(H257="","",10^H257*Ksat_Lookup!$B$5)</f>
        <v>3.10219438462518E-006</v>
      </c>
      <c r="J257" s="6" t="n">
        <f aca="false">IF(I257="","",I257*Ksat_Lookup!$B$6)</f>
        <v>0.268029594831616</v>
      </c>
      <c r="K257" s="4" t="s">
        <v>51</v>
      </c>
      <c r="L257" s="6" t="n">
        <f aca="false">10^INDEX(Ksat_Lookup!$B$9:$B$18,MATCH(K257,Ksat_Lookup!$A$9:$A$18,0))*Ksat_Lookup!$B$5*Ksat_Lookup!$B$6</f>
        <v>0.00673259902500546</v>
      </c>
    </row>
    <row r="258" customFormat="false" ht="15" hidden="false" customHeight="false" outlineLevel="0" collapsed="false">
      <c r="A258" s="3" t="n">
        <v>257</v>
      </c>
      <c r="B258" s="3" t="s">
        <v>342</v>
      </c>
      <c r="C258" s="3" t="s">
        <v>50</v>
      </c>
      <c r="D258" s="3" t="s">
        <v>108</v>
      </c>
      <c r="E258" s="3" t="s">
        <v>29</v>
      </c>
      <c r="F258" s="4" t="s">
        <v>51</v>
      </c>
      <c r="G258" s="4" t="s">
        <v>52</v>
      </c>
      <c r="H258" s="5" t="n">
        <f aca="false">IFERROR(INDEX(Ksat_Lookup!$B$9:$B$18,MATCH(F258,Ksat_Lookup!$A$9:$A$18,0)),"")</f>
        <v>-14.1</v>
      </c>
      <c r="I258" s="6" t="n">
        <f aca="false">IF(H258="","",10^H258*Ksat_Lookup!$B$5)</f>
        <v>7.79235998264521E-008</v>
      </c>
      <c r="J258" s="6" t="n">
        <f aca="false">IF(I258="","",I258*Ksat_Lookup!$B$6)</f>
        <v>0.00673259902500546</v>
      </c>
      <c r="K258" s="4"/>
      <c r="L258" s="6"/>
    </row>
    <row r="259" customFormat="false" ht="15" hidden="false" customHeight="false" outlineLevel="0" collapsed="false">
      <c r="A259" s="3" t="n">
        <v>258</v>
      </c>
      <c r="B259" s="3" t="s">
        <v>343</v>
      </c>
      <c r="C259" s="3" t="s">
        <v>151</v>
      </c>
      <c r="D259" s="3" t="s">
        <v>208</v>
      </c>
      <c r="E259" s="3" t="s">
        <v>219</v>
      </c>
      <c r="F259" s="4" t="s">
        <v>51</v>
      </c>
      <c r="G259" s="4" t="s">
        <v>153</v>
      </c>
      <c r="H259" s="5" t="n">
        <f aca="false">IFERROR(INDEX(Ksat_Lookup!$B$9:$B$18,MATCH(F259,Ksat_Lookup!$A$9:$A$18,0)),"")</f>
        <v>-14.1</v>
      </c>
      <c r="I259" s="6" t="n">
        <f aca="false">IF(H259="","",10^H259*Ksat_Lookup!$B$5)</f>
        <v>7.79235998264521E-008</v>
      </c>
      <c r="J259" s="6" t="n">
        <f aca="false">IF(I259="","",I259*Ksat_Lookup!$B$6)</f>
        <v>0.00673259902500546</v>
      </c>
      <c r="K259" s="4"/>
      <c r="L259" s="6"/>
    </row>
    <row r="260" customFormat="false" ht="15" hidden="false" customHeight="false" outlineLevel="0" collapsed="false">
      <c r="A260" s="3" t="n">
        <v>259</v>
      </c>
      <c r="B260" s="3" t="s">
        <v>344</v>
      </c>
      <c r="C260" s="3" t="s">
        <v>151</v>
      </c>
      <c r="D260" s="3" t="s">
        <v>208</v>
      </c>
      <c r="E260" s="3" t="s">
        <v>208</v>
      </c>
      <c r="F260" s="4" t="s">
        <v>51</v>
      </c>
      <c r="G260" s="4" t="s">
        <v>153</v>
      </c>
      <c r="H260" s="5" t="n">
        <f aca="false">IFERROR(INDEX(Ksat_Lookup!$B$9:$B$18,MATCH(F260,Ksat_Lookup!$A$9:$A$18,0)),"")</f>
        <v>-14.1</v>
      </c>
      <c r="I260" s="6" t="n">
        <f aca="false">IF(H260="","",10^H260*Ksat_Lookup!$B$5)</f>
        <v>7.79235998264521E-008</v>
      </c>
      <c r="J260" s="6" t="n">
        <f aca="false">IF(I260="","",I260*Ksat_Lookup!$B$6)</f>
        <v>0.00673259902500546</v>
      </c>
      <c r="K260" s="4"/>
      <c r="L260" s="6"/>
    </row>
    <row r="261" customFormat="false" ht="15" hidden="false" customHeight="false" outlineLevel="0" collapsed="false">
      <c r="A261" s="3" t="n">
        <v>260</v>
      </c>
      <c r="B261" s="3" t="s">
        <v>345</v>
      </c>
      <c r="C261" s="3" t="s">
        <v>151</v>
      </c>
      <c r="D261" s="3" t="s">
        <v>193</v>
      </c>
      <c r="E261" s="3" t="s">
        <v>193</v>
      </c>
      <c r="F261" s="4" t="s">
        <v>51</v>
      </c>
      <c r="G261" s="4" t="s">
        <v>153</v>
      </c>
      <c r="H261" s="5" t="n">
        <f aca="false">IFERROR(INDEX(Ksat_Lookup!$B$9:$B$18,MATCH(F261,Ksat_Lookup!$A$9:$A$18,0)),"")</f>
        <v>-14.1</v>
      </c>
      <c r="I261" s="6" t="n">
        <f aca="false">IF(H261="","",10^H261*Ksat_Lookup!$B$5)</f>
        <v>7.79235998264521E-008</v>
      </c>
      <c r="J261" s="6" t="n">
        <f aca="false">IF(I261="","",I261*Ksat_Lookup!$B$6)</f>
        <v>0.00673259902500546</v>
      </c>
      <c r="K261" s="4"/>
      <c r="L261" s="6"/>
    </row>
    <row r="262" customFormat="false" ht="15" hidden="false" customHeight="false" outlineLevel="0" collapsed="false">
      <c r="A262" s="3" t="n">
        <v>261</v>
      </c>
      <c r="B262" s="3" t="s">
        <v>346</v>
      </c>
      <c r="C262" s="3" t="s">
        <v>50</v>
      </c>
      <c r="D262" s="3" t="s">
        <v>108</v>
      </c>
      <c r="E262" s="3" t="s">
        <v>29</v>
      </c>
      <c r="F262" s="4" t="s">
        <v>51</v>
      </c>
      <c r="G262" s="4" t="s">
        <v>52</v>
      </c>
      <c r="H262" s="5" t="n">
        <f aca="false">IFERROR(INDEX(Ksat_Lookup!$B$9:$B$18,MATCH(F262,Ksat_Lookup!$A$9:$A$18,0)),"")</f>
        <v>-14.1</v>
      </c>
      <c r="I262" s="6" t="n">
        <f aca="false">IF(H262="","",10^H262*Ksat_Lookup!$B$5)</f>
        <v>7.79235998264521E-008</v>
      </c>
      <c r="J262" s="6" t="n">
        <f aca="false">IF(I262="","",I262*Ksat_Lookup!$B$6)</f>
        <v>0.00673259902500546</v>
      </c>
      <c r="K262" s="4"/>
      <c r="L262" s="6"/>
    </row>
    <row r="263" customFormat="false" ht="15" hidden="false" customHeight="false" outlineLevel="0" collapsed="false">
      <c r="A263" s="3" t="n">
        <v>262</v>
      </c>
      <c r="B263" s="3" t="s">
        <v>347</v>
      </c>
      <c r="C263" s="3" t="s">
        <v>151</v>
      </c>
      <c r="D263" s="3" t="s">
        <v>193</v>
      </c>
      <c r="E263" s="3" t="s">
        <v>193</v>
      </c>
      <c r="F263" s="4" t="s">
        <v>51</v>
      </c>
      <c r="G263" s="4" t="s">
        <v>153</v>
      </c>
      <c r="H263" s="5" t="n">
        <f aca="false">IFERROR(INDEX(Ksat_Lookup!$B$9:$B$18,MATCH(F263,Ksat_Lookup!$A$9:$A$18,0)),"")</f>
        <v>-14.1</v>
      </c>
      <c r="I263" s="6" t="n">
        <f aca="false">IF(H263="","",10^H263*Ksat_Lookup!$B$5)</f>
        <v>7.79235998264521E-008</v>
      </c>
      <c r="J263" s="6" t="n">
        <f aca="false">IF(I263="","",I263*Ksat_Lookup!$B$6)</f>
        <v>0.00673259902500546</v>
      </c>
      <c r="K263" s="4"/>
      <c r="L263" s="6"/>
    </row>
    <row r="264" customFormat="false" ht="15" hidden="false" customHeight="false" outlineLevel="0" collapsed="false">
      <c r="A264" s="3" t="n">
        <v>263</v>
      </c>
      <c r="B264" s="3" t="s">
        <v>348</v>
      </c>
      <c r="C264" s="3" t="s">
        <v>13</v>
      </c>
      <c r="D264" s="3" t="s">
        <v>108</v>
      </c>
      <c r="E264" s="3" t="s">
        <v>29</v>
      </c>
      <c r="F264" s="4" t="s">
        <v>15</v>
      </c>
      <c r="G264" s="4" t="s">
        <v>277</v>
      </c>
      <c r="H264" s="5" t="n">
        <f aca="false">IFERROR(INDEX(Ksat_Lookup!$B$9:$B$18,MATCH(F264,Ksat_Lookup!$A$9:$A$18,0)),"")</f>
        <v>-12.5</v>
      </c>
      <c r="I264" s="6" t="n">
        <f aca="false">IF(H264="","",10^H264*Ksat_Lookup!$B$5)</f>
        <v>3.10219438462518E-006</v>
      </c>
      <c r="J264" s="6" t="n">
        <f aca="false">IF(I264="","",I264*Ksat_Lookup!$B$6)</f>
        <v>0.268029594831616</v>
      </c>
      <c r="K264" s="4" t="s">
        <v>51</v>
      </c>
      <c r="L264" s="6" t="n">
        <f aca="false">10^INDEX(Ksat_Lookup!$B$9:$B$18,MATCH(K264,Ksat_Lookup!$A$9:$A$18,0))*Ksat_Lookup!$B$5*Ksat_Lookup!$B$6</f>
        <v>0.00673259902500546</v>
      </c>
    </row>
    <row r="265" customFormat="false" ht="15" hidden="false" customHeight="false" outlineLevel="0" collapsed="false">
      <c r="A265" s="3" t="n">
        <v>264</v>
      </c>
      <c r="B265" s="3" t="s">
        <v>349</v>
      </c>
      <c r="C265" s="3" t="s">
        <v>151</v>
      </c>
      <c r="D265" s="3" t="s">
        <v>193</v>
      </c>
      <c r="E265" s="3" t="s">
        <v>193</v>
      </c>
      <c r="F265" s="4" t="s">
        <v>51</v>
      </c>
      <c r="G265" s="4" t="s">
        <v>153</v>
      </c>
      <c r="H265" s="5" t="n">
        <f aca="false">IFERROR(INDEX(Ksat_Lookup!$B$9:$B$18,MATCH(F265,Ksat_Lookup!$A$9:$A$18,0)),"")</f>
        <v>-14.1</v>
      </c>
      <c r="I265" s="6" t="n">
        <f aca="false">IF(H265="","",10^H265*Ksat_Lookup!$B$5)</f>
        <v>7.79235998264521E-008</v>
      </c>
      <c r="J265" s="6" t="n">
        <f aca="false">IF(I265="","",I265*Ksat_Lookup!$B$6)</f>
        <v>0.00673259902500546</v>
      </c>
      <c r="K265" s="4"/>
      <c r="L265" s="6"/>
    </row>
    <row r="266" customFormat="false" ht="15" hidden="false" customHeight="false" outlineLevel="0" collapsed="false">
      <c r="A266" s="3" t="n">
        <v>265</v>
      </c>
      <c r="B266" s="3" t="s">
        <v>350</v>
      </c>
      <c r="C266" s="3" t="s">
        <v>50</v>
      </c>
      <c r="D266" s="3" t="s">
        <v>66</v>
      </c>
      <c r="E266" s="3" t="s">
        <v>66</v>
      </c>
      <c r="F266" s="4" t="s">
        <v>51</v>
      </c>
      <c r="G266" s="4" t="s">
        <v>52</v>
      </c>
      <c r="H266" s="5" t="n">
        <f aca="false">IFERROR(INDEX(Ksat_Lookup!$B$9:$B$18,MATCH(F266,Ksat_Lookup!$A$9:$A$18,0)),"")</f>
        <v>-14.1</v>
      </c>
      <c r="I266" s="6" t="n">
        <f aca="false">IF(H266="","",10^H266*Ksat_Lookup!$B$5)</f>
        <v>7.79235998264521E-008</v>
      </c>
      <c r="J266" s="6" t="n">
        <f aca="false">IF(I266="","",I266*Ksat_Lookup!$B$6)</f>
        <v>0.00673259902500546</v>
      </c>
      <c r="K266" s="4"/>
      <c r="L266" s="6"/>
    </row>
    <row r="267" customFormat="false" ht="15" hidden="false" customHeight="false" outlineLevel="0" collapsed="false">
      <c r="A267" s="3" t="n">
        <v>266</v>
      </c>
      <c r="B267" s="3" t="s">
        <v>351</v>
      </c>
      <c r="C267" s="3" t="s">
        <v>151</v>
      </c>
      <c r="D267" s="3" t="s">
        <v>193</v>
      </c>
      <c r="E267" s="3" t="s">
        <v>193</v>
      </c>
      <c r="F267" s="4" t="s">
        <v>51</v>
      </c>
      <c r="G267" s="4" t="s">
        <v>153</v>
      </c>
      <c r="H267" s="5" t="n">
        <f aca="false">IFERROR(INDEX(Ksat_Lookup!$B$9:$B$18,MATCH(F267,Ksat_Lookup!$A$9:$A$18,0)),"")</f>
        <v>-14.1</v>
      </c>
      <c r="I267" s="6" t="n">
        <f aca="false">IF(H267="","",10^H267*Ksat_Lookup!$B$5)</f>
        <v>7.79235998264521E-008</v>
      </c>
      <c r="J267" s="6" t="n">
        <f aca="false">IF(I267="","",I267*Ksat_Lookup!$B$6)</f>
        <v>0.00673259902500546</v>
      </c>
      <c r="K267" s="4"/>
      <c r="L267" s="6"/>
    </row>
    <row r="268" customFormat="false" ht="15" hidden="false" customHeight="false" outlineLevel="0" collapsed="false">
      <c r="A268" s="3" t="n">
        <v>267</v>
      </c>
      <c r="B268" s="3" t="s">
        <v>352</v>
      </c>
      <c r="C268" s="3" t="s">
        <v>13</v>
      </c>
      <c r="D268" s="3" t="s">
        <v>193</v>
      </c>
      <c r="E268" s="3" t="s">
        <v>193</v>
      </c>
      <c r="F268" s="4" t="s">
        <v>15</v>
      </c>
      <c r="G268" s="4" t="s">
        <v>277</v>
      </c>
      <c r="H268" s="5" t="n">
        <f aca="false">IFERROR(INDEX(Ksat_Lookup!$B$9:$B$18,MATCH(F268,Ksat_Lookup!$A$9:$A$18,0)),"")</f>
        <v>-12.5</v>
      </c>
      <c r="I268" s="6" t="n">
        <f aca="false">IF(H268="","",10^H268*Ksat_Lookup!$B$5)</f>
        <v>3.10219438462518E-006</v>
      </c>
      <c r="J268" s="6" t="n">
        <f aca="false">IF(I268="","",I268*Ksat_Lookup!$B$6)</f>
        <v>0.268029594831616</v>
      </c>
      <c r="K268" s="4" t="s">
        <v>51</v>
      </c>
      <c r="L268" s="6" t="n">
        <f aca="false">10^INDEX(Ksat_Lookup!$B$9:$B$18,MATCH(K268,Ksat_Lookup!$A$9:$A$18,0))*Ksat_Lookup!$B$5*Ksat_Lookup!$B$6</f>
        <v>0.00673259902500546</v>
      </c>
    </row>
    <row r="269" customFormat="false" ht="15" hidden="false" customHeight="false" outlineLevel="0" collapsed="false">
      <c r="A269" s="3" t="n">
        <v>268</v>
      </c>
      <c r="B269" s="3" t="s">
        <v>353</v>
      </c>
      <c r="C269" s="3" t="s">
        <v>50</v>
      </c>
      <c r="D269" s="3" t="s">
        <v>193</v>
      </c>
      <c r="E269" s="3" t="s">
        <v>193</v>
      </c>
      <c r="F269" s="4" t="s">
        <v>51</v>
      </c>
      <c r="G269" s="4" t="s">
        <v>52</v>
      </c>
      <c r="H269" s="5" t="n">
        <f aca="false">IFERROR(INDEX(Ksat_Lookup!$B$9:$B$18,MATCH(F269,Ksat_Lookup!$A$9:$A$18,0)),"")</f>
        <v>-14.1</v>
      </c>
      <c r="I269" s="6" t="n">
        <f aca="false">IF(H269="","",10^H269*Ksat_Lookup!$B$5)</f>
        <v>7.79235998264521E-008</v>
      </c>
      <c r="J269" s="6" t="n">
        <f aca="false">IF(I269="","",I269*Ksat_Lookup!$B$6)</f>
        <v>0.00673259902500546</v>
      </c>
      <c r="K269" s="4"/>
      <c r="L269" s="6"/>
    </row>
    <row r="270" customFormat="false" ht="15" hidden="false" customHeight="false" outlineLevel="0" collapsed="false">
      <c r="A270" s="3" t="n">
        <v>269</v>
      </c>
      <c r="B270" s="3" t="s">
        <v>354</v>
      </c>
      <c r="C270" s="3" t="s">
        <v>50</v>
      </c>
      <c r="D270" s="3" t="s">
        <v>193</v>
      </c>
      <c r="E270" s="3" t="s">
        <v>193</v>
      </c>
      <c r="F270" s="4" t="s">
        <v>51</v>
      </c>
      <c r="G270" s="4" t="s">
        <v>52</v>
      </c>
      <c r="H270" s="5" t="n">
        <f aca="false">IFERROR(INDEX(Ksat_Lookup!$B$9:$B$18,MATCH(F270,Ksat_Lookup!$A$9:$A$18,0)),"")</f>
        <v>-14.1</v>
      </c>
      <c r="I270" s="6" t="n">
        <f aca="false">IF(H270="","",10^H270*Ksat_Lookup!$B$5)</f>
        <v>7.79235998264521E-008</v>
      </c>
      <c r="J270" s="6" t="n">
        <f aca="false">IF(I270="","",I270*Ksat_Lookup!$B$6)</f>
        <v>0.00673259902500546</v>
      </c>
      <c r="K270" s="4"/>
      <c r="L270" s="6"/>
    </row>
    <row r="271" customFormat="false" ht="15" hidden="false" customHeight="false" outlineLevel="0" collapsed="false">
      <c r="A271" s="3" t="n">
        <v>270</v>
      </c>
      <c r="B271" s="3" t="s">
        <v>355</v>
      </c>
      <c r="C271" s="3" t="s">
        <v>13</v>
      </c>
      <c r="D271" s="3" t="s">
        <v>31</v>
      </c>
      <c r="E271" s="3" t="s">
        <v>31</v>
      </c>
      <c r="F271" s="4" t="s">
        <v>15</v>
      </c>
      <c r="G271" s="4" t="s">
        <v>15</v>
      </c>
      <c r="H271" s="5" t="n">
        <f aca="false">IFERROR(INDEX(Ksat_Lookup!$B$9:$B$18,MATCH(F271,Ksat_Lookup!$A$9:$A$18,0)),"")</f>
        <v>-12.5</v>
      </c>
      <c r="I271" s="6" t="n">
        <f aca="false">IF(H271="","",10^H271*Ksat_Lookup!$B$5)</f>
        <v>3.10219438462518E-006</v>
      </c>
      <c r="J271" s="6" t="n">
        <f aca="false">IF(I271="","",I271*Ksat_Lookup!$B$6)</f>
        <v>0.268029594831616</v>
      </c>
      <c r="K271" s="4"/>
      <c r="L271" s="6"/>
    </row>
    <row r="272" customFormat="false" ht="15" hidden="false" customHeight="false" outlineLevel="0" collapsed="false">
      <c r="A272" s="3" t="n">
        <v>271</v>
      </c>
      <c r="B272" s="3" t="s">
        <v>356</v>
      </c>
      <c r="C272" s="3" t="s">
        <v>50</v>
      </c>
      <c r="D272" s="3" t="s">
        <v>17</v>
      </c>
      <c r="E272" s="3" t="s">
        <v>39</v>
      </c>
      <c r="F272" s="4" t="s">
        <v>51</v>
      </c>
      <c r="G272" s="4" t="s">
        <v>52</v>
      </c>
      <c r="H272" s="5" t="n">
        <f aca="false">IFERROR(INDEX(Ksat_Lookup!$B$9:$B$18,MATCH(F272,Ksat_Lookup!$A$9:$A$18,0)),"")</f>
        <v>-14.1</v>
      </c>
      <c r="I272" s="6" t="n">
        <f aca="false">IF(H272="","",10^H272*Ksat_Lookup!$B$5)</f>
        <v>7.79235998264521E-008</v>
      </c>
      <c r="J272" s="6" t="n">
        <f aca="false">IF(I272="","",I272*Ksat_Lookup!$B$6)</f>
        <v>0.00673259902500546</v>
      </c>
      <c r="K272" s="4"/>
      <c r="L272" s="6"/>
    </row>
    <row r="273" customFormat="false" ht="15" hidden="false" customHeight="false" outlineLevel="0" collapsed="false">
      <c r="A273" s="3" t="n">
        <v>272</v>
      </c>
      <c r="B273" s="3" t="s">
        <v>357</v>
      </c>
      <c r="C273" s="3" t="s">
        <v>13</v>
      </c>
      <c r="D273" s="3" t="s">
        <v>43</v>
      </c>
      <c r="E273" s="3" t="s">
        <v>43</v>
      </c>
      <c r="F273" s="4" t="s">
        <v>15</v>
      </c>
      <c r="G273" s="4" t="s">
        <v>15</v>
      </c>
      <c r="H273" s="5" t="n">
        <f aca="false">IFERROR(INDEX(Ksat_Lookup!$B$9:$B$18,MATCH(F273,Ksat_Lookup!$A$9:$A$18,0)),"")</f>
        <v>-12.5</v>
      </c>
      <c r="I273" s="6" t="n">
        <f aca="false">IF(H273="","",10^H273*Ksat_Lookup!$B$5)</f>
        <v>3.10219438462518E-006</v>
      </c>
      <c r="J273" s="6" t="n">
        <f aca="false">IF(I273="","",I273*Ksat_Lookup!$B$6)</f>
        <v>0.268029594831616</v>
      </c>
      <c r="K273" s="4"/>
      <c r="L273" s="6"/>
    </row>
    <row r="274" customFormat="false" ht="15" hidden="false" customHeight="false" outlineLevel="0" collapsed="false">
      <c r="A274" s="3" t="n">
        <v>273</v>
      </c>
      <c r="B274" s="3" t="s">
        <v>358</v>
      </c>
      <c r="C274" s="3" t="s">
        <v>151</v>
      </c>
      <c r="D274" s="3" t="s">
        <v>193</v>
      </c>
      <c r="E274" s="3" t="s">
        <v>193</v>
      </c>
      <c r="F274" s="4" t="s">
        <v>51</v>
      </c>
      <c r="G274" s="4" t="s">
        <v>153</v>
      </c>
      <c r="H274" s="5" t="n">
        <f aca="false">IFERROR(INDEX(Ksat_Lookup!$B$9:$B$18,MATCH(F274,Ksat_Lookup!$A$9:$A$18,0)),"")</f>
        <v>-14.1</v>
      </c>
      <c r="I274" s="6" t="n">
        <f aca="false">IF(H274="","",10^H274*Ksat_Lookup!$B$5)</f>
        <v>7.79235998264521E-008</v>
      </c>
      <c r="J274" s="6" t="n">
        <f aca="false">IF(I274="","",I274*Ksat_Lookup!$B$6)</f>
        <v>0.00673259902500546</v>
      </c>
      <c r="K274" s="4"/>
      <c r="L274" s="6"/>
    </row>
    <row r="275" customFormat="false" ht="15" hidden="false" customHeight="false" outlineLevel="0" collapsed="false">
      <c r="A275" s="3" t="n">
        <v>274</v>
      </c>
      <c r="B275" s="3" t="s">
        <v>359</v>
      </c>
      <c r="C275" s="3" t="s">
        <v>50</v>
      </c>
      <c r="D275" s="3" t="s">
        <v>193</v>
      </c>
      <c r="E275" s="3" t="s">
        <v>193</v>
      </c>
      <c r="F275" s="4" t="s">
        <v>51</v>
      </c>
      <c r="G275" s="4" t="s">
        <v>52</v>
      </c>
      <c r="H275" s="5" t="n">
        <f aca="false">IFERROR(INDEX(Ksat_Lookup!$B$9:$B$18,MATCH(F275,Ksat_Lookup!$A$9:$A$18,0)),"")</f>
        <v>-14.1</v>
      </c>
      <c r="I275" s="6" t="n">
        <f aca="false">IF(H275="","",10^H275*Ksat_Lookup!$B$5)</f>
        <v>7.79235998264521E-008</v>
      </c>
      <c r="J275" s="6" t="n">
        <f aca="false">IF(I275="","",I275*Ksat_Lookup!$B$6)</f>
        <v>0.00673259902500546</v>
      </c>
      <c r="K275" s="4"/>
      <c r="L275" s="6"/>
    </row>
    <row r="276" customFormat="false" ht="15" hidden="false" customHeight="false" outlineLevel="0" collapsed="false">
      <c r="A276" s="3" t="n">
        <v>275</v>
      </c>
      <c r="B276" s="3" t="s">
        <v>360</v>
      </c>
      <c r="C276" s="3" t="s">
        <v>13</v>
      </c>
      <c r="D276" s="3" t="s">
        <v>54</v>
      </c>
      <c r="E276" s="3" t="s">
        <v>54</v>
      </c>
      <c r="F276" s="4" t="s">
        <v>15</v>
      </c>
      <c r="G276" s="4" t="s">
        <v>15</v>
      </c>
      <c r="H276" s="5" t="n">
        <f aca="false">IFERROR(INDEX(Ksat_Lookup!$B$9:$B$18,MATCH(F276,Ksat_Lookup!$A$9:$A$18,0)),"")</f>
        <v>-12.5</v>
      </c>
      <c r="I276" s="6" t="n">
        <f aca="false">IF(H276="","",10^H276*Ksat_Lookup!$B$5)</f>
        <v>3.10219438462518E-006</v>
      </c>
      <c r="J276" s="6" t="n">
        <f aca="false">IF(I276="","",I276*Ksat_Lookup!$B$6)</f>
        <v>0.268029594831616</v>
      </c>
      <c r="K276" s="4"/>
      <c r="L276" s="6"/>
    </row>
    <row r="277" customFormat="false" ht="15" hidden="false" customHeight="false" outlineLevel="0" collapsed="false">
      <c r="A277" s="3" t="n">
        <v>276</v>
      </c>
      <c r="B277" s="3" t="s">
        <v>361</v>
      </c>
      <c r="C277" s="3" t="s">
        <v>50</v>
      </c>
      <c r="D277" s="3" t="s">
        <v>193</v>
      </c>
      <c r="E277" s="3" t="s">
        <v>193</v>
      </c>
      <c r="F277" s="4" t="s">
        <v>51</v>
      </c>
      <c r="G277" s="4" t="s">
        <v>52</v>
      </c>
      <c r="H277" s="5" t="n">
        <f aca="false">IFERROR(INDEX(Ksat_Lookup!$B$9:$B$18,MATCH(F277,Ksat_Lookup!$A$9:$A$18,0)),"")</f>
        <v>-14.1</v>
      </c>
      <c r="I277" s="6" t="n">
        <f aca="false">IF(H277="","",10^H277*Ksat_Lookup!$B$5)</f>
        <v>7.79235998264521E-008</v>
      </c>
      <c r="J277" s="6" t="n">
        <f aca="false">IF(I277="","",I277*Ksat_Lookup!$B$6)</f>
        <v>0.00673259902500546</v>
      </c>
      <c r="K277" s="4"/>
      <c r="L277" s="6"/>
    </row>
    <row r="278" customFormat="false" ht="15" hidden="false" customHeight="false" outlineLevel="0" collapsed="false">
      <c r="A278" s="3" t="n">
        <v>277</v>
      </c>
      <c r="B278" s="3" t="s">
        <v>362</v>
      </c>
      <c r="C278" s="3" t="s">
        <v>151</v>
      </c>
      <c r="D278" s="3" t="s">
        <v>193</v>
      </c>
      <c r="E278" s="3" t="s">
        <v>193</v>
      </c>
      <c r="F278" s="4" t="s">
        <v>51</v>
      </c>
      <c r="G278" s="4" t="s">
        <v>153</v>
      </c>
      <c r="H278" s="5" t="n">
        <f aca="false">IFERROR(INDEX(Ksat_Lookup!$B$9:$B$18,MATCH(F278,Ksat_Lookup!$A$9:$A$18,0)),"")</f>
        <v>-14.1</v>
      </c>
      <c r="I278" s="6" t="n">
        <f aca="false">IF(H278="","",10^H278*Ksat_Lookup!$B$5)</f>
        <v>7.79235998264521E-008</v>
      </c>
      <c r="J278" s="6" t="n">
        <f aca="false">IF(I278="","",I278*Ksat_Lookup!$B$6)</f>
        <v>0.00673259902500546</v>
      </c>
      <c r="K278" s="4"/>
      <c r="L278" s="6"/>
    </row>
    <row r="279" customFormat="false" ht="15" hidden="false" customHeight="false" outlineLevel="0" collapsed="false">
      <c r="A279" s="3" t="n">
        <v>278</v>
      </c>
      <c r="B279" s="3" t="s">
        <v>363</v>
      </c>
      <c r="C279" s="3" t="s">
        <v>50</v>
      </c>
      <c r="D279" s="3" t="s">
        <v>193</v>
      </c>
      <c r="E279" s="3" t="s">
        <v>193</v>
      </c>
      <c r="F279" s="4" t="s">
        <v>51</v>
      </c>
      <c r="G279" s="4" t="s">
        <v>52</v>
      </c>
      <c r="H279" s="5" t="n">
        <f aca="false">IFERROR(INDEX(Ksat_Lookup!$B$9:$B$18,MATCH(F279,Ksat_Lookup!$A$9:$A$18,0)),"")</f>
        <v>-14.1</v>
      </c>
      <c r="I279" s="6" t="n">
        <f aca="false">IF(H279="","",10^H279*Ksat_Lookup!$B$5)</f>
        <v>7.79235998264521E-008</v>
      </c>
      <c r="J279" s="6" t="n">
        <f aca="false">IF(I279="","",I279*Ksat_Lookup!$B$6)</f>
        <v>0.00673259902500546</v>
      </c>
      <c r="K279" s="4"/>
      <c r="L279" s="6"/>
    </row>
    <row r="280" customFormat="false" ht="15" hidden="false" customHeight="false" outlineLevel="0" collapsed="false">
      <c r="A280" s="3" t="n">
        <v>279</v>
      </c>
      <c r="B280" s="3" t="s">
        <v>364</v>
      </c>
      <c r="C280" s="3" t="s">
        <v>19</v>
      </c>
      <c r="D280" s="3" t="s">
        <v>365</v>
      </c>
      <c r="E280" s="3" t="s">
        <v>365</v>
      </c>
      <c r="F280" s="4" t="s">
        <v>22</v>
      </c>
      <c r="G280" s="4" t="s">
        <v>23</v>
      </c>
      <c r="H280" s="5" t="n">
        <f aca="false">IFERROR(INDEX(Ksat_Lookup!$B$9:$B$18,MATCH(F280,Ksat_Lookup!$A$9:$A$18,0)),"")</f>
        <v>-15.2</v>
      </c>
      <c r="I280" s="6" t="n">
        <f aca="false">IF(H280="","",10^H280*Ksat_Lookup!$B$5)</f>
        <v>6.18969154935071E-009</v>
      </c>
      <c r="J280" s="6" t="n">
        <f aca="false">IF(I280="","",I280*Ksat_Lookup!$B$6)</f>
        <v>0.000534789349863901</v>
      </c>
      <c r="K280" s="4"/>
      <c r="L280" s="6"/>
    </row>
    <row r="281" customFormat="false" ht="15" hidden="false" customHeight="false" outlineLevel="0" collapsed="false">
      <c r="A281" s="3" t="n">
        <v>280</v>
      </c>
      <c r="B281" s="3" t="s">
        <v>366</v>
      </c>
      <c r="C281" s="3" t="s">
        <v>50</v>
      </c>
      <c r="D281" s="3" t="s">
        <v>193</v>
      </c>
      <c r="E281" s="3" t="s">
        <v>193</v>
      </c>
      <c r="F281" s="4" t="s">
        <v>51</v>
      </c>
      <c r="G281" s="4" t="s">
        <v>52</v>
      </c>
      <c r="H281" s="5" t="n">
        <f aca="false">IFERROR(INDEX(Ksat_Lookup!$B$9:$B$18,MATCH(F281,Ksat_Lookup!$A$9:$A$18,0)),"")</f>
        <v>-14.1</v>
      </c>
      <c r="I281" s="6" t="n">
        <f aca="false">IF(H281="","",10^H281*Ksat_Lookup!$B$5)</f>
        <v>7.79235998264521E-008</v>
      </c>
      <c r="J281" s="6" t="n">
        <f aca="false">IF(I281="","",I281*Ksat_Lookup!$B$6)</f>
        <v>0.00673259902500546</v>
      </c>
      <c r="K281" s="4"/>
      <c r="L281" s="6"/>
    </row>
    <row r="282" customFormat="false" ht="15" hidden="false" customHeight="false" outlineLevel="0" collapsed="false">
      <c r="A282" s="3" t="n">
        <v>281</v>
      </c>
      <c r="B282" s="3" t="s">
        <v>367</v>
      </c>
      <c r="C282" s="3" t="s">
        <v>19</v>
      </c>
      <c r="D282" s="3" t="s">
        <v>193</v>
      </c>
      <c r="E282" s="3" t="s">
        <v>193</v>
      </c>
      <c r="F282" s="4" t="s">
        <v>22</v>
      </c>
      <c r="G282" s="4" t="s">
        <v>23</v>
      </c>
      <c r="H282" s="5" t="n">
        <f aca="false">IFERROR(INDEX(Ksat_Lookup!$B$9:$B$18,MATCH(F282,Ksat_Lookup!$A$9:$A$18,0)),"")</f>
        <v>-15.2</v>
      </c>
      <c r="I282" s="6" t="n">
        <f aca="false">IF(H282="","",10^H282*Ksat_Lookup!$B$5)</f>
        <v>6.18969154935071E-009</v>
      </c>
      <c r="J282" s="6" t="n">
        <f aca="false">IF(I282="","",I282*Ksat_Lookup!$B$6)</f>
        <v>0.000534789349863901</v>
      </c>
      <c r="K282" s="4"/>
      <c r="L282" s="6"/>
    </row>
    <row r="283" customFormat="false" ht="15" hidden="false" customHeight="false" outlineLevel="0" collapsed="false">
      <c r="A283" s="3" t="n">
        <v>282</v>
      </c>
      <c r="B283" s="3" t="s">
        <v>368</v>
      </c>
      <c r="C283" s="3" t="s">
        <v>19</v>
      </c>
      <c r="D283" s="3" t="s">
        <v>137</v>
      </c>
      <c r="E283" s="3" t="s">
        <v>66</v>
      </c>
      <c r="F283" s="4" t="s">
        <v>22</v>
      </c>
      <c r="G283" s="4" t="s">
        <v>23</v>
      </c>
      <c r="H283" s="5" t="n">
        <f aca="false">IFERROR(INDEX(Ksat_Lookup!$B$9:$B$18,MATCH(F283,Ksat_Lookup!$A$9:$A$18,0)),"")</f>
        <v>-15.2</v>
      </c>
      <c r="I283" s="6" t="n">
        <f aca="false">IF(H283="","",10^H283*Ksat_Lookup!$B$5)</f>
        <v>6.18969154935071E-009</v>
      </c>
      <c r="J283" s="6" t="n">
        <f aca="false">IF(I283="","",I283*Ksat_Lookup!$B$6)</f>
        <v>0.000534789349863901</v>
      </c>
      <c r="K283" s="4"/>
      <c r="L283" s="6"/>
    </row>
    <row r="284" customFormat="false" ht="15" hidden="false" customHeight="false" outlineLevel="0" collapsed="false">
      <c r="A284" s="3" t="n">
        <v>283</v>
      </c>
      <c r="B284" s="3" t="s">
        <v>369</v>
      </c>
      <c r="C284" s="3" t="s">
        <v>151</v>
      </c>
      <c r="D284" s="3" t="s">
        <v>66</v>
      </c>
      <c r="E284" s="3" t="s">
        <v>66</v>
      </c>
      <c r="F284" s="4" t="s">
        <v>51</v>
      </c>
      <c r="G284" s="4" t="s">
        <v>153</v>
      </c>
      <c r="H284" s="5" t="n">
        <f aca="false">IFERROR(INDEX(Ksat_Lookup!$B$9:$B$18,MATCH(F284,Ksat_Lookup!$A$9:$A$18,0)),"")</f>
        <v>-14.1</v>
      </c>
      <c r="I284" s="6" t="n">
        <f aca="false">IF(H284="","",10^H284*Ksat_Lookup!$B$5)</f>
        <v>7.79235998264521E-008</v>
      </c>
      <c r="J284" s="6" t="n">
        <f aca="false">IF(I284="","",I284*Ksat_Lookup!$B$6)</f>
        <v>0.00673259902500546</v>
      </c>
      <c r="K284" s="4"/>
      <c r="L284" s="6"/>
    </row>
    <row r="285" customFormat="false" ht="15" hidden="false" customHeight="false" outlineLevel="0" collapsed="false">
      <c r="A285" s="3" t="n">
        <v>284</v>
      </c>
      <c r="B285" s="3" t="s">
        <v>370</v>
      </c>
      <c r="C285" s="3" t="s">
        <v>50</v>
      </c>
      <c r="D285" s="3" t="s">
        <v>66</v>
      </c>
      <c r="E285" s="3" t="s">
        <v>108</v>
      </c>
      <c r="F285" s="4" t="s">
        <v>51</v>
      </c>
      <c r="G285" s="4" t="s">
        <v>52</v>
      </c>
      <c r="H285" s="5" t="n">
        <f aca="false">IFERROR(INDEX(Ksat_Lookup!$B$9:$B$18,MATCH(F285,Ksat_Lookup!$A$9:$A$18,0)),"")</f>
        <v>-14.1</v>
      </c>
      <c r="I285" s="6" t="n">
        <f aca="false">IF(H285="","",10^H285*Ksat_Lookup!$B$5)</f>
        <v>7.79235998264521E-008</v>
      </c>
      <c r="J285" s="6" t="n">
        <f aca="false">IF(I285="","",I285*Ksat_Lookup!$B$6)</f>
        <v>0.00673259902500546</v>
      </c>
      <c r="K285" s="4"/>
      <c r="L285" s="6"/>
    </row>
    <row r="286" customFormat="false" ht="15" hidden="false" customHeight="false" outlineLevel="0" collapsed="false">
      <c r="A286" s="3" t="n">
        <v>285</v>
      </c>
      <c r="B286" s="3" t="s">
        <v>371</v>
      </c>
      <c r="C286" s="3" t="s">
        <v>50</v>
      </c>
      <c r="D286" s="3" t="s">
        <v>28</v>
      </c>
      <c r="E286" s="3" t="s">
        <v>28</v>
      </c>
      <c r="F286" s="4" t="s">
        <v>51</v>
      </c>
      <c r="G286" s="4" t="s">
        <v>52</v>
      </c>
      <c r="H286" s="5" t="n">
        <f aca="false">IFERROR(INDEX(Ksat_Lookup!$B$9:$B$18,MATCH(F286,Ksat_Lookup!$A$9:$A$18,0)),"")</f>
        <v>-14.1</v>
      </c>
      <c r="I286" s="6" t="n">
        <f aca="false">IF(H286="","",10^H286*Ksat_Lookup!$B$5)</f>
        <v>7.79235998264521E-008</v>
      </c>
      <c r="J286" s="6" t="n">
        <f aca="false">IF(I286="","",I286*Ksat_Lookup!$B$6)</f>
        <v>0.00673259902500546</v>
      </c>
      <c r="K286" s="4"/>
      <c r="L286" s="6"/>
    </row>
    <row r="287" customFormat="false" ht="15" hidden="false" customHeight="false" outlineLevel="0" collapsed="false">
      <c r="A287" s="3" t="n">
        <v>286</v>
      </c>
      <c r="B287" s="3" t="s">
        <v>372</v>
      </c>
      <c r="C287" s="3" t="s">
        <v>151</v>
      </c>
      <c r="D287" s="3" t="s">
        <v>29</v>
      </c>
      <c r="E287" s="3" t="s">
        <v>29</v>
      </c>
      <c r="F287" s="4" t="s">
        <v>51</v>
      </c>
      <c r="G287" s="4" t="s">
        <v>153</v>
      </c>
      <c r="H287" s="5" t="n">
        <f aca="false">IFERROR(INDEX(Ksat_Lookup!$B$9:$B$18,MATCH(F287,Ksat_Lookup!$A$9:$A$18,0)),"")</f>
        <v>-14.1</v>
      </c>
      <c r="I287" s="6" t="n">
        <f aca="false">IF(H287="","",10^H287*Ksat_Lookup!$B$5)</f>
        <v>7.79235998264521E-008</v>
      </c>
      <c r="J287" s="6" t="n">
        <f aca="false">IF(I287="","",I287*Ksat_Lookup!$B$6)</f>
        <v>0.00673259902500546</v>
      </c>
      <c r="K287" s="4"/>
      <c r="L287" s="6"/>
    </row>
    <row r="288" customFormat="false" ht="15" hidden="false" customHeight="false" outlineLevel="0" collapsed="false">
      <c r="A288" s="3" t="n">
        <v>287</v>
      </c>
      <c r="B288" s="3" t="s">
        <v>373</v>
      </c>
      <c r="C288" s="3" t="s">
        <v>13</v>
      </c>
      <c r="D288" s="3" t="s">
        <v>66</v>
      </c>
      <c r="E288" s="3" t="s">
        <v>66</v>
      </c>
      <c r="F288" s="4" t="s">
        <v>15</v>
      </c>
      <c r="G288" s="4" t="s">
        <v>15</v>
      </c>
      <c r="H288" s="5" t="n">
        <f aca="false">IFERROR(INDEX(Ksat_Lookup!$B$9:$B$18,MATCH(F288,Ksat_Lookup!$A$9:$A$18,0)),"")</f>
        <v>-12.5</v>
      </c>
      <c r="I288" s="6" t="n">
        <f aca="false">IF(H288="","",10^H288*Ksat_Lookup!$B$5)</f>
        <v>3.10219438462518E-006</v>
      </c>
      <c r="J288" s="6" t="n">
        <f aca="false">IF(I288="","",I288*Ksat_Lookup!$B$6)</f>
        <v>0.268029594831616</v>
      </c>
      <c r="K288" s="4"/>
      <c r="L288" s="6"/>
    </row>
    <row r="289" customFormat="false" ht="15" hidden="false" customHeight="false" outlineLevel="0" collapsed="false">
      <c r="A289" s="3" t="n">
        <v>288</v>
      </c>
      <c r="B289" s="3" t="s">
        <v>374</v>
      </c>
      <c r="C289" s="3" t="s">
        <v>19</v>
      </c>
      <c r="D289" s="3" t="s">
        <v>56</v>
      </c>
      <c r="E289" s="3" t="s">
        <v>237</v>
      </c>
      <c r="F289" s="4" t="s">
        <v>22</v>
      </c>
      <c r="G289" s="4" t="s">
        <v>23</v>
      </c>
      <c r="H289" s="5" t="n">
        <f aca="false">IFERROR(INDEX(Ksat_Lookup!$B$9:$B$18,MATCH(F289,Ksat_Lookup!$A$9:$A$18,0)),"")</f>
        <v>-15.2</v>
      </c>
      <c r="I289" s="6" t="n">
        <f aca="false">IF(H289="","",10^H289*Ksat_Lookup!$B$5)</f>
        <v>6.18969154935071E-009</v>
      </c>
      <c r="J289" s="6" t="n">
        <f aca="false">IF(I289="","",I289*Ksat_Lookup!$B$6)</f>
        <v>0.000534789349863901</v>
      </c>
      <c r="K289" s="4"/>
      <c r="L289" s="6"/>
    </row>
    <row r="290" customFormat="false" ht="15" hidden="false" customHeight="false" outlineLevel="0" collapsed="false">
      <c r="A290" s="3" t="n">
        <v>289</v>
      </c>
      <c r="B290" s="3" t="s">
        <v>375</v>
      </c>
      <c r="C290" s="3" t="s">
        <v>19</v>
      </c>
      <c r="D290" s="3" t="s">
        <v>66</v>
      </c>
      <c r="E290" s="3" t="s">
        <v>29</v>
      </c>
      <c r="F290" s="4" t="s">
        <v>22</v>
      </c>
      <c r="G290" s="4" t="s">
        <v>23</v>
      </c>
      <c r="H290" s="5" t="n">
        <f aca="false">IFERROR(INDEX(Ksat_Lookup!$B$9:$B$18,MATCH(F290,Ksat_Lookup!$A$9:$A$18,0)),"")</f>
        <v>-15.2</v>
      </c>
      <c r="I290" s="6" t="n">
        <f aca="false">IF(H290="","",10^H290*Ksat_Lookup!$B$5)</f>
        <v>6.18969154935071E-009</v>
      </c>
      <c r="J290" s="6" t="n">
        <f aca="false">IF(I290="","",I290*Ksat_Lookup!$B$6)</f>
        <v>0.000534789349863901</v>
      </c>
      <c r="K290" s="4"/>
      <c r="L290" s="6"/>
    </row>
    <row r="291" customFormat="false" ht="15" hidden="false" customHeight="false" outlineLevel="0" collapsed="false">
      <c r="A291" s="3" t="n">
        <v>290</v>
      </c>
      <c r="B291" s="3" t="s">
        <v>376</v>
      </c>
      <c r="C291" s="3" t="s">
        <v>50</v>
      </c>
      <c r="D291" s="3" t="s">
        <v>21</v>
      </c>
      <c r="E291" s="3" t="s">
        <v>137</v>
      </c>
      <c r="F291" s="4" t="s">
        <v>51</v>
      </c>
      <c r="G291" s="4" t="s">
        <v>52</v>
      </c>
      <c r="H291" s="5" t="n">
        <f aca="false">IFERROR(INDEX(Ksat_Lookup!$B$9:$B$18,MATCH(F291,Ksat_Lookup!$A$9:$A$18,0)),"")</f>
        <v>-14.1</v>
      </c>
      <c r="I291" s="6" t="n">
        <f aca="false">IF(H291="","",10^H291*Ksat_Lookup!$B$5)</f>
        <v>7.79235998264521E-008</v>
      </c>
      <c r="J291" s="6" t="n">
        <f aca="false">IF(I291="","",I291*Ksat_Lookup!$B$6)</f>
        <v>0.00673259902500546</v>
      </c>
      <c r="K291" s="4"/>
      <c r="L291" s="6"/>
    </row>
    <row r="292" customFormat="false" ht="15" hidden="false" customHeight="false" outlineLevel="0" collapsed="false">
      <c r="A292" s="3" t="n">
        <v>291</v>
      </c>
      <c r="B292" s="3" t="s">
        <v>377</v>
      </c>
      <c r="C292" s="3" t="s">
        <v>50</v>
      </c>
      <c r="D292" s="3" t="s">
        <v>137</v>
      </c>
      <c r="E292" s="3" t="s">
        <v>108</v>
      </c>
      <c r="F292" s="4" t="s">
        <v>51</v>
      </c>
      <c r="G292" s="4" t="s">
        <v>52</v>
      </c>
      <c r="H292" s="5" t="n">
        <f aca="false">IFERROR(INDEX(Ksat_Lookup!$B$9:$B$18,MATCH(F292,Ksat_Lookup!$A$9:$A$18,0)),"")</f>
        <v>-14.1</v>
      </c>
      <c r="I292" s="6" t="n">
        <f aca="false">IF(H292="","",10^H292*Ksat_Lookup!$B$5)</f>
        <v>7.79235998264521E-008</v>
      </c>
      <c r="J292" s="6" t="n">
        <f aca="false">IF(I292="","",I292*Ksat_Lookup!$B$6)</f>
        <v>0.00673259902500546</v>
      </c>
      <c r="K292" s="4"/>
      <c r="L292" s="6"/>
    </row>
    <row r="293" customFormat="false" ht="15" hidden="false" customHeight="false" outlineLevel="0" collapsed="false">
      <c r="A293" s="3" t="n">
        <v>292</v>
      </c>
      <c r="B293" s="3" t="s">
        <v>378</v>
      </c>
      <c r="C293" s="3" t="s">
        <v>13</v>
      </c>
      <c r="D293" s="3" t="s">
        <v>66</v>
      </c>
      <c r="E293" s="3" t="s">
        <v>29</v>
      </c>
      <c r="F293" s="4" t="s">
        <v>15</v>
      </c>
      <c r="G293" s="4" t="s">
        <v>277</v>
      </c>
      <c r="H293" s="5" t="n">
        <f aca="false">IFERROR(INDEX(Ksat_Lookup!$B$9:$B$18,MATCH(F293,Ksat_Lookup!$A$9:$A$18,0)),"")</f>
        <v>-12.5</v>
      </c>
      <c r="I293" s="6" t="n">
        <f aca="false">IF(H293="","",10^H293*Ksat_Lookup!$B$5)</f>
        <v>3.10219438462518E-006</v>
      </c>
      <c r="J293" s="6" t="n">
        <f aca="false">IF(I293="","",I293*Ksat_Lookup!$B$6)</f>
        <v>0.268029594831616</v>
      </c>
      <c r="K293" s="4" t="s">
        <v>51</v>
      </c>
      <c r="L293" s="6" t="n">
        <f aca="false">10^INDEX(Ksat_Lookup!$B$9:$B$18,MATCH(K293,Ksat_Lookup!$A$9:$A$18,0))*Ksat_Lookup!$B$5*Ksat_Lookup!$B$6</f>
        <v>0.00673259902500546</v>
      </c>
    </row>
    <row r="294" customFormat="false" ht="15" hidden="false" customHeight="false" outlineLevel="0" collapsed="false">
      <c r="A294" s="3" t="n">
        <v>293</v>
      </c>
      <c r="B294" s="3" t="s">
        <v>379</v>
      </c>
      <c r="C294" s="3" t="s">
        <v>13</v>
      </c>
      <c r="D294" s="3" t="s">
        <v>193</v>
      </c>
      <c r="E294" s="3" t="s">
        <v>193</v>
      </c>
      <c r="F294" s="4" t="s">
        <v>34</v>
      </c>
      <c r="G294" s="4" t="s">
        <v>35</v>
      </c>
      <c r="H294" s="5" t="n">
        <f aca="false">IFERROR(INDEX(Ksat_Lookup!$B$9:$B$18,MATCH(F294,Ksat_Lookup!$A$9:$A$18,0)),"")</f>
        <v>-13.85</v>
      </c>
      <c r="I294" s="6" t="n">
        <f aca="false">IF(H294="","",10^H294*Ksat_Lookup!$B$5)</f>
        <v>1.38569933127492E-007</v>
      </c>
      <c r="J294" s="6" t="n">
        <f aca="false">IF(I294="","",I294*Ksat_Lookup!$B$6)</f>
        <v>0.0119724422222153</v>
      </c>
      <c r="K294" s="4"/>
      <c r="L294" s="6"/>
    </row>
    <row r="295" customFormat="false" ht="15" hidden="false" customHeight="false" outlineLevel="0" collapsed="false">
      <c r="A295" s="3" t="n">
        <v>294</v>
      </c>
      <c r="B295" s="3" t="s">
        <v>380</v>
      </c>
      <c r="C295" s="3" t="s">
        <v>13</v>
      </c>
      <c r="D295" s="3" t="s">
        <v>14</v>
      </c>
      <c r="E295" s="3" t="s">
        <v>14</v>
      </c>
      <c r="F295" s="4" t="s">
        <v>15</v>
      </c>
      <c r="G295" s="4" t="s">
        <v>15</v>
      </c>
      <c r="H295" s="5" t="n">
        <f aca="false">IFERROR(INDEX(Ksat_Lookup!$B$9:$B$18,MATCH(F295,Ksat_Lookup!$A$9:$A$18,0)),"")</f>
        <v>-12.5</v>
      </c>
      <c r="I295" s="6" t="n">
        <f aca="false">IF(H295="","",10^H295*Ksat_Lookup!$B$5)</f>
        <v>3.10219438462518E-006</v>
      </c>
      <c r="J295" s="6" t="n">
        <f aca="false">IF(I295="","",I295*Ksat_Lookup!$B$6)</f>
        <v>0.268029594831616</v>
      </c>
      <c r="K295" s="4"/>
      <c r="L295" s="6"/>
    </row>
    <row r="296" customFormat="false" ht="15" hidden="false" customHeight="false" outlineLevel="0" collapsed="false">
      <c r="A296" s="3" t="n">
        <v>295</v>
      </c>
      <c r="B296" s="3" t="s">
        <v>381</v>
      </c>
      <c r="C296" s="3" t="s">
        <v>13</v>
      </c>
      <c r="D296" s="3" t="s">
        <v>108</v>
      </c>
      <c r="E296" s="3" t="s">
        <v>108</v>
      </c>
      <c r="F296" s="4" t="s">
        <v>15</v>
      </c>
      <c r="G296" s="4" t="s">
        <v>15</v>
      </c>
      <c r="H296" s="5" t="n">
        <f aca="false">IFERROR(INDEX(Ksat_Lookup!$B$9:$B$18,MATCH(F296,Ksat_Lookup!$A$9:$A$18,0)),"")</f>
        <v>-12.5</v>
      </c>
      <c r="I296" s="6" t="n">
        <f aca="false">IF(H296="","",10^H296*Ksat_Lookup!$B$5)</f>
        <v>3.10219438462518E-006</v>
      </c>
      <c r="J296" s="6" t="n">
        <f aca="false">IF(I296="","",I296*Ksat_Lookup!$B$6)</f>
        <v>0.268029594831616</v>
      </c>
      <c r="K296" s="4"/>
      <c r="L296" s="6"/>
    </row>
    <row r="297" customFormat="false" ht="15" hidden="false" customHeight="false" outlineLevel="0" collapsed="false">
      <c r="A297" s="3" t="n">
        <v>296</v>
      </c>
      <c r="B297" s="3" t="s">
        <v>382</v>
      </c>
      <c r="C297" s="3" t="s">
        <v>19</v>
      </c>
      <c r="D297" s="3" t="s">
        <v>31</v>
      </c>
      <c r="E297" s="3" t="s">
        <v>31</v>
      </c>
      <c r="F297" s="4" t="s">
        <v>22</v>
      </c>
      <c r="G297" s="4" t="s">
        <v>23</v>
      </c>
      <c r="H297" s="5" t="n">
        <f aca="false">IFERROR(INDEX(Ksat_Lookup!$B$9:$B$18,MATCH(F297,Ksat_Lookup!$A$9:$A$18,0)),"")</f>
        <v>-15.2</v>
      </c>
      <c r="I297" s="6" t="n">
        <f aca="false">IF(H297="","",10^H297*Ksat_Lookup!$B$5)</f>
        <v>6.18969154935071E-009</v>
      </c>
      <c r="J297" s="6" t="n">
        <f aca="false">IF(I297="","",I297*Ksat_Lookup!$B$6)</f>
        <v>0.000534789349863901</v>
      </c>
      <c r="K297" s="4"/>
      <c r="L297" s="6"/>
    </row>
    <row r="298" customFormat="false" ht="15" hidden="false" customHeight="false" outlineLevel="0" collapsed="false">
      <c r="A298" s="3" t="n">
        <v>297</v>
      </c>
      <c r="B298" s="3" t="s">
        <v>383</v>
      </c>
      <c r="C298" s="3" t="s">
        <v>50</v>
      </c>
      <c r="D298" s="3" t="s">
        <v>200</v>
      </c>
      <c r="E298" s="3" t="s">
        <v>200</v>
      </c>
      <c r="F298" s="4" t="s">
        <v>51</v>
      </c>
      <c r="G298" s="4" t="s">
        <v>52</v>
      </c>
      <c r="H298" s="5" t="n">
        <f aca="false">IFERROR(INDEX(Ksat_Lookup!$B$9:$B$18,MATCH(F298,Ksat_Lookup!$A$9:$A$18,0)),"")</f>
        <v>-14.1</v>
      </c>
      <c r="I298" s="6" t="n">
        <f aca="false">IF(H298="","",10^H298*Ksat_Lookup!$B$5)</f>
        <v>7.79235998264521E-008</v>
      </c>
      <c r="J298" s="6" t="n">
        <f aca="false">IF(I298="","",I298*Ksat_Lookup!$B$6)</f>
        <v>0.00673259902500546</v>
      </c>
      <c r="K298" s="4"/>
      <c r="L298" s="6"/>
    </row>
    <row r="299" customFormat="false" ht="15" hidden="false" customHeight="false" outlineLevel="0" collapsed="false">
      <c r="A299" s="3" t="n">
        <v>298</v>
      </c>
      <c r="B299" s="3" t="s">
        <v>384</v>
      </c>
      <c r="C299" s="3" t="s">
        <v>50</v>
      </c>
      <c r="D299" s="3" t="s">
        <v>200</v>
      </c>
      <c r="E299" s="3" t="s">
        <v>66</v>
      </c>
      <c r="F299" s="4" t="s">
        <v>51</v>
      </c>
      <c r="G299" s="4" t="s">
        <v>52</v>
      </c>
      <c r="H299" s="5" t="n">
        <f aca="false">IFERROR(INDEX(Ksat_Lookup!$B$9:$B$18,MATCH(F299,Ksat_Lookup!$A$9:$A$18,0)),"")</f>
        <v>-14.1</v>
      </c>
      <c r="I299" s="6" t="n">
        <f aca="false">IF(H299="","",10^H299*Ksat_Lookup!$B$5)</f>
        <v>7.79235998264521E-008</v>
      </c>
      <c r="J299" s="6" t="n">
        <f aca="false">IF(I299="","",I299*Ksat_Lookup!$B$6)</f>
        <v>0.00673259902500546</v>
      </c>
      <c r="K299" s="4"/>
      <c r="L299" s="6"/>
    </row>
    <row r="300" customFormat="false" ht="15" hidden="false" customHeight="false" outlineLevel="0" collapsed="false">
      <c r="A300" s="3" t="n">
        <v>299</v>
      </c>
      <c r="B300" s="3" t="s">
        <v>385</v>
      </c>
      <c r="C300" s="3" t="s">
        <v>50</v>
      </c>
      <c r="D300" s="3" t="s">
        <v>29</v>
      </c>
      <c r="E300" s="3" t="s">
        <v>29</v>
      </c>
      <c r="F300" s="4" t="s">
        <v>51</v>
      </c>
      <c r="G300" s="4" t="s">
        <v>52</v>
      </c>
      <c r="H300" s="5" t="n">
        <f aca="false">IFERROR(INDEX(Ksat_Lookup!$B$9:$B$18,MATCH(F300,Ksat_Lookup!$A$9:$A$18,0)),"")</f>
        <v>-14.1</v>
      </c>
      <c r="I300" s="6" t="n">
        <f aca="false">IF(H300="","",10^H300*Ksat_Lookup!$B$5)</f>
        <v>7.79235998264521E-008</v>
      </c>
      <c r="J300" s="6" t="n">
        <f aca="false">IF(I300="","",I300*Ksat_Lookup!$B$6)</f>
        <v>0.00673259902500546</v>
      </c>
      <c r="K300" s="4"/>
      <c r="L300" s="6"/>
    </row>
    <row r="301" customFormat="false" ht="15" hidden="false" customHeight="false" outlineLevel="0" collapsed="false">
      <c r="A301" s="3" t="n">
        <v>300</v>
      </c>
      <c r="B301" s="3" t="s">
        <v>386</v>
      </c>
      <c r="C301" s="3" t="s">
        <v>13</v>
      </c>
      <c r="D301" s="3" t="s">
        <v>137</v>
      </c>
      <c r="E301" s="3" t="s">
        <v>137</v>
      </c>
      <c r="F301" s="4" t="s">
        <v>15</v>
      </c>
      <c r="G301" s="4" t="s">
        <v>15</v>
      </c>
      <c r="H301" s="5" t="n">
        <f aca="false">IFERROR(INDEX(Ksat_Lookup!$B$9:$B$18,MATCH(F301,Ksat_Lookup!$A$9:$A$18,0)),"")</f>
        <v>-12.5</v>
      </c>
      <c r="I301" s="6" t="n">
        <f aca="false">IF(H301="","",10^H301*Ksat_Lookup!$B$5)</f>
        <v>3.10219438462518E-006</v>
      </c>
      <c r="J301" s="6" t="n">
        <f aca="false">IF(I301="","",I301*Ksat_Lookup!$B$6)</f>
        <v>0.268029594831616</v>
      </c>
      <c r="K301" s="4"/>
      <c r="L301" s="6"/>
    </row>
    <row r="302" customFormat="false" ht="15" hidden="false" customHeight="false" outlineLevel="0" collapsed="false">
      <c r="A302" s="3" t="n">
        <v>301</v>
      </c>
      <c r="B302" s="3" t="s">
        <v>387</v>
      </c>
      <c r="C302" s="3" t="s">
        <v>19</v>
      </c>
      <c r="D302" s="3" t="s">
        <v>56</v>
      </c>
      <c r="E302" s="3" t="s">
        <v>29</v>
      </c>
      <c r="F302" s="4" t="s">
        <v>22</v>
      </c>
      <c r="G302" s="4" t="s">
        <v>23</v>
      </c>
      <c r="H302" s="5" t="n">
        <f aca="false">IFERROR(INDEX(Ksat_Lookup!$B$9:$B$18,MATCH(F302,Ksat_Lookup!$A$9:$A$18,0)),"")</f>
        <v>-15.2</v>
      </c>
      <c r="I302" s="6" t="n">
        <f aca="false">IF(H302="","",10^H302*Ksat_Lookup!$B$5)</f>
        <v>6.18969154935071E-009</v>
      </c>
      <c r="J302" s="6" t="n">
        <f aca="false">IF(I302="","",I302*Ksat_Lookup!$B$6)</f>
        <v>0.000534789349863901</v>
      </c>
      <c r="K302" s="4"/>
      <c r="L302" s="6"/>
    </row>
    <row r="303" customFormat="false" ht="15" hidden="false" customHeight="false" outlineLevel="0" collapsed="false">
      <c r="A303" s="3" t="n">
        <v>302</v>
      </c>
      <c r="B303" s="3" t="s">
        <v>388</v>
      </c>
      <c r="C303" s="3" t="s">
        <v>13</v>
      </c>
      <c r="D303" s="3" t="s">
        <v>29</v>
      </c>
      <c r="E303" s="3" t="s">
        <v>29</v>
      </c>
      <c r="F303" s="4" t="s">
        <v>15</v>
      </c>
      <c r="G303" s="4" t="s">
        <v>277</v>
      </c>
      <c r="H303" s="5" t="n">
        <f aca="false">IFERROR(INDEX(Ksat_Lookup!$B$9:$B$18,MATCH(F303,Ksat_Lookup!$A$9:$A$18,0)),"")</f>
        <v>-12.5</v>
      </c>
      <c r="I303" s="6" t="n">
        <f aca="false">IF(H303="","",10^H303*Ksat_Lookup!$B$5)</f>
        <v>3.10219438462518E-006</v>
      </c>
      <c r="J303" s="6" t="n">
        <f aca="false">IF(I303="","",I303*Ksat_Lookup!$B$6)</f>
        <v>0.268029594831616</v>
      </c>
      <c r="K303" s="4" t="s">
        <v>51</v>
      </c>
      <c r="L303" s="6" t="n">
        <f aca="false">10^INDEX(Ksat_Lookup!$B$9:$B$18,MATCH(K303,Ksat_Lookup!$A$9:$A$18,0))*Ksat_Lookup!$B$5*Ksat_Lookup!$B$6</f>
        <v>0.00673259902500546</v>
      </c>
    </row>
    <row r="304" customFormat="false" ht="15" hidden="false" customHeight="false" outlineLevel="0" collapsed="false">
      <c r="A304" s="3" t="n">
        <v>303</v>
      </c>
      <c r="B304" s="3" t="s">
        <v>389</v>
      </c>
      <c r="C304" s="3" t="s">
        <v>50</v>
      </c>
      <c r="D304" s="3" t="s">
        <v>20</v>
      </c>
      <c r="E304" s="3" t="s">
        <v>21</v>
      </c>
      <c r="F304" s="4" t="s">
        <v>51</v>
      </c>
      <c r="G304" s="4" t="s">
        <v>52</v>
      </c>
      <c r="H304" s="5" t="n">
        <f aca="false">IFERROR(INDEX(Ksat_Lookup!$B$9:$B$18,MATCH(F304,Ksat_Lookup!$A$9:$A$18,0)),"")</f>
        <v>-14.1</v>
      </c>
      <c r="I304" s="6" t="n">
        <f aca="false">IF(H304="","",10^H304*Ksat_Lookup!$B$5)</f>
        <v>7.79235998264521E-008</v>
      </c>
      <c r="J304" s="6" t="n">
        <f aca="false">IF(I304="","",I304*Ksat_Lookup!$B$6)</f>
        <v>0.00673259902500546</v>
      </c>
      <c r="K304" s="4"/>
      <c r="L304" s="6"/>
    </row>
    <row r="305" customFormat="false" ht="15" hidden="false" customHeight="false" outlineLevel="0" collapsed="false">
      <c r="A305" s="3" t="n">
        <v>304</v>
      </c>
      <c r="B305" s="3" t="s">
        <v>390</v>
      </c>
      <c r="C305" s="3" t="s">
        <v>19</v>
      </c>
      <c r="D305" s="3" t="s">
        <v>56</v>
      </c>
      <c r="E305" s="3" t="s">
        <v>56</v>
      </c>
      <c r="F305" s="4" t="s">
        <v>22</v>
      </c>
      <c r="G305" s="4" t="s">
        <v>23</v>
      </c>
      <c r="H305" s="5" t="n">
        <f aca="false">IFERROR(INDEX(Ksat_Lookup!$B$9:$B$18,MATCH(F305,Ksat_Lookup!$A$9:$A$18,0)),"")</f>
        <v>-15.2</v>
      </c>
      <c r="I305" s="6" t="n">
        <f aca="false">IF(H305="","",10^H305*Ksat_Lookup!$B$5)</f>
        <v>6.18969154935071E-009</v>
      </c>
      <c r="J305" s="6" t="n">
        <f aca="false">IF(I305="","",I305*Ksat_Lookup!$B$6)</f>
        <v>0.000534789349863901</v>
      </c>
      <c r="K305" s="4"/>
      <c r="L305" s="6"/>
    </row>
    <row r="306" customFormat="false" ht="15" hidden="false" customHeight="false" outlineLevel="0" collapsed="false">
      <c r="A306" s="3" t="n">
        <v>305</v>
      </c>
      <c r="B306" s="3" t="s">
        <v>391</v>
      </c>
      <c r="C306" s="3" t="s">
        <v>13</v>
      </c>
      <c r="D306" s="3" t="s">
        <v>28</v>
      </c>
      <c r="E306" s="3" t="s">
        <v>28</v>
      </c>
      <c r="F306" s="4" t="s">
        <v>34</v>
      </c>
      <c r="G306" s="4" t="s">
        <v>35</v>
      </c>
      <c r="H306" s="5" t="n">
        <f aca="false">IFERROR(INDEX(Ksat_Lookup!$B$9:$B$18,MATCH(F306,Ksat_Lookup!$A$9:$A$18,0)),"")</f>
        <v>-13.85</v>
      </c>
      <c r="I306" s="6" t="n">
        <f aca="false">IF(H306="","",10^H306*Ksat_Lookup!$B$5)</f>
        <v>1.38569933127492E-007</v>
      </c>
      <c r="J306" s="6" t="n">
        <f aca="false">IF(I306="","",I306*Ksat_Lookup!$B$6)</f>
        <v>0.0119724422222153</v>
      </c>
      <c r="K306" s="4"/>
      <c r="L306" s="6"/>
    </row>
    <row r="307" customFormat="false" ht="15" hidden="false" customHeight="false" outlineLevel="0" collapsed="false">
      <c r="A307" s="3" t="n">
        <v>306</v>
      </c>
      <c r="B307" s="3" t="s">
        <v>392</v>
      </c>
      <c r="C307" s="3" t="s">
        <v>50</v>
      </c>
      <c r="D307" s="3" t="s">
        <v>28</v>
      </c>
      <c r="E307" s="3" t="s">
        <v>200</v>
      </c>
      <c r="F307" s="4" t="s">
        <v>51</v>
      </c>
      <c r="G307" s="4" t="s">
        <v>52</v>
      </c>
      <c r="H307" s="5" t="n">
        <f aca="false">IFERROR(INDEX(Ksat_Lookup!$B$9:$B$18,MATCH(F307,Ksat_Lookup!$A$9:$A$18,0)),"")</f>
        <v>-14.1</v>
      </c>
      <c r="I307" s="6" t="n">
        <f aca="false">IF(H307="","",10^H307*Ksat_Lookup!$B$5)</f>
        <v>7.79235998264521E-008</v>
      </c>
      <c r="J307" s="6" t="n">
        <f aca="false">IF(I307="","",I307*Ksat_Lookup!$B$6)</f>
        <v>0.00673259902500546</v>
      </c>
      <c r="K307" s="4"/>
      <c r="L307" s="6"/>
    </row>
    <row r="308" customFormat="false" ht="15" hidden="false" customHeight="false" outlineLevel="0" collapsed="false">
      <c r="A308" s="3" t="n">
        <v>307</v>
      </c>
      <c r="B308" s="3" t="s">
        <v>393</v>
      </c>
      <c r="C308" s="3" t="s">
        <v>13</v>
      </c>
      <c r="D308" s="3" t="s">
        <v>66</v>
      </c>
      <c r="E308" s="3" t="s">
        <v>66</v>
      </c>
      <c r="F308" s="4" t="s">
        <v>15</v>
      </c>
      <c r="G308" s="4" t="s">
        <v>15</v>
      </c>
      <c r="H308" s="5" t="n">
        <f aca="false">IFERROR(INDEX(Ksat_Lookup!$B$9:$B$18,MATCH(F308,Ksat_Lookup!$A$9:$A$18,0)),"")</f>
        <v>-12.5</v>
      </c>
      <c r="I308" s="6" t="n">
        <f aca="false">IF(H308="","",10^H308*Ksat_Lookup!$B$5)</f>
        <v>3.10219438462518E-006</v>
      </c>
      <c r="J308" s="6" t="n">
        <f aca="false">IF(I308="","",I308*Ksat_Lookup!$B$6)</f>
        <v>0.268029594831616</v>
      </c>
      <c r="K308" s="4"/>
      <c r="L308" s="6"/>
    </row>
    <row r="309" customFormat="false" ht="15" hidden="false" customHeight="false" outlineLevel="0" collapsed="false">
      <c r="A309" s="3" t="n">
        <v>308</v>
      </c>
      <c r="B309" s="3" t="s">
        <v>394</v>
      </c>
      <c r="C309" s="3" t="s">
        <v>13</v>
      </c>
      <c r="D309" s="3" t="s">
        <v>200</v>
      </c>
      <c r="E309" s="3" t="s">
        <v>200</v>
      </c>
      <c r="F309" s="4" t="s">
        <v>15</v>
      </c>
      <c r="G309" s="4" t="s">
        <v>15</v>
      </c>
      <c r="H309" s="5" t="n">
        <f aca="false">IFERROR(INDEX(Ksat_Lookup!$B$9:$B$18,MATCH(F309,Ksat_Lookup!$A$9:$A$18,0)),"")</f>
        <v>-12.5</v>
      </c>
      <c r="I309" s="6" t="n">
        <f aca="false">IF(H309="","",10^H309*Ksat_Lookup!$B$5)</f>
        <v>3.10219438462518E-006</v>
      </c>
      <c r="J309" s="6" t="n">
        <f aca="false">IF(I309="","",I309*Ksat_Lookup!$B$6)</f>
        <v>0.268029594831616</v>
      </c>
      <c r="K309" s="4"/>
      <c r="L309" s="6"/>
    </row>
    <row r="310" customFormat="false" ht="15" hidden="false" customHeight="false" outlineLevel="0" collapsed="false">
      <c r="A310" s="3" t="n">
        <v>309</v>
      </c>
      <c r="B310" s="3" t="s">
        <v>395</v>
      </c>
      <c r="C310" s="3" t="s">
        <v>50</v>
      </c>
      <c r="D310" s="3" t="s">
        <v>28</v>
      </c>
      <c r="E310" s="3" t="s">
        <v>28</v>
      </c>
      <c r="F310" s="4" t="s">
        <v>51</v>
      </c>
      <c r="G310" s="4" t="s">
        <v>52</v>
      </c>
      <c r="H310" s="5" t="n">
        <f aca="false">IFERROR(INDEX(Ksat_Lookup!$B$9:$B$18,MATCH(F310,Ksat_Lookup!$A$9:$A$18,0)),"")</f>
        <v>-14.1</v>
      </c>
      <c r="I310" s="6" t="n">
        <f aca="false">IF(H310="","",10^H310*Ksat_Lookup!$B$5)</f>
        <v>7.79235998264521E-008</v>
      </c>
      <c r="J310" s="6" t="n">
        <f aca="false">IF(I310="","",I310*Ksat_Lookup!$B$6)</f>
        <v>0.00673259902500546</v>
      </c>
      <c r="K310" s="4"/>
      <c r="L310" s="6"/>
    </row>
    <row r="311" customFormat="false" ht="15" hidden="false" customHeight="false" outlineLevel="0" collapsed="false">
      <c r="A311" s="3" t="n">
        <v>310</v>
      </c>
      <c r="B311" s="3" t="s">
        <v>396</v>
      </c>
      <c r="C311" s="3" t="s">
        <v>151</v>
      </c>
      <c r="D311" s="3" t="s">
        <v>41</v>
      </c>
      <c r="E311" s="3" t="s">
        <v>41</v>
      </c>
      <c r="F311" s="4" t="s">
        <v>51</v>
      </c>
      <c r="G311" s="4" t="s">
        <v>153</v>
      </c>
      <c r="H311" s="5" t="n">
        <f aca="false">IFERROR(INDEX(Ksat_Lookup!$B$9:$B$18,MATCH(F311,Ksat_Lookup!$A$9:$A$18,0)),"")</f>
        <v>-14.1</v>
      </c>
      <c r="I311" s="6" t="n">
        <f aca="false">IF(H311="","",10^H311*Ksat_Lookup!$B$5)</f>
        <v>7.79235998264521E-008</v>
      </c>
      <c r="J311" s="6" t="n">
        <f aca="false">IF(I311="","",I311*Ksat_Lookup!$B$6)</f>
        <v>0.00673259902500546</v>
      </c>
      <c r="K311" s="4"/>
      <c r="L311" s="6"/>
    </row>
    <row r="312" customFormat="false" ht="15" hidden="false" customHeight="false" outlineLevel="0" collapsed="false">
      <c r="A312" s="3" t="n">
        <v>311</v>
      </c>
      <c r="B312" s="3" t="s">
        <v>397</v>
      </c>
      <c r="C312" s="3" t="s">
        <v>13</v>
      </c>
      <c r="D312" s="3" t="s">
        <v>28</v>
      </c>
      <c r="E312" s="3" t="s">
        <v>200</v>
      </c>
      <c r="F312" s="4" t="s">
        <v>15</v>
      </c>
      <c r="G312" s="4" t="s">
        <v>15</v>
      </c>
      <c r="H312" s="5" t="n">
        <f aca="false">IFERROR(INDEX(Ksat_Lookup!$B$9:$B$18,MATCH(F312,Ksat_Lookup!$A$9:$A$18,0)),"")</f>
        <v>-12.5</v>
      </c>
      <c r="I312" s="6" t="n">
        <f aca="false">IF(H312="","",10^H312*Ksat_Lookup!$B$5)</f>
        <v>3.10219438462518E-006</v>
      </c>
      <c r="J312" s="6" t="n">
        <f aca="false">IF(I312="","",I312*Ksat_Lookup!$B$6)</f>
        <v>0.268029594831616</v>
      </c>
      <c r="K312" s="4"/>
      <c r="L312" s="6"/>
    </row>
    <row r="313" customFormat="false" ht="15" hidden="false" customHeight="false" outlineLevel="0" collapsed="false">
      <c r="A313" s="3" t="n">
        <v>312</v>
      </c>
      <c r="B313" s="3" t="s">
        <v>398</v>
      </c>
      <c r="C313" s="3" t="s">
        <v>13</v>
      </c>
      <c r="D313" s="3" t="s">
        <v>17</v>
      </c>
      <c r="E313" s="3" t="s">
        <v>39</v>
      </c>
      <c r="F313" s="4" t="s">
        <v>34</v>
      </c>
      <c r="G313" s="4" t="s">
        <v>35</v>
      </c>
      <c r="H313" s="5" t="n">
        <f aca="false">IFERROR(INDEX(Ksat_Lookup!$B$9:$B$18,MATCH(F313,Ksat_Lookup!$A$9:$A$18,0)),"")</f>
        <v>-13.85</v>
      </c>
      <c r="I313" s="6" t="n">
        <f aca="false">IF(H313="","",10^H313*Ksat_Lookup!$B$5)</f>
        <v>1.38569933127492E-007</v>
      </c>
      <c r="J313" s="6" t="n">
        <f aca="false">IF(I313="","",I313*Ksat_Lookup!$B$6)</f>
        <v>0.0119724422222153</v>
      </c>
      <c r="K313" s="4"/>
      <c r="L313" s="6"/>
    </row>
    <row r="314" customFormat="false" ht="15" hidden="false" customHeight="false" outlineLevel="0" collapsed="false">
      <c r="A314" s="3" t="n">
        <v>313</v>
      </c>
      <c r="B314" s="3" t="s">
        <v>399</v>
      </c>
      <c r="C314" s="3" t="s">
        <v>13</v>
      </c>
      <c r="D314" s="3" t="s">
        <v>72</v>
      </c>
      <c r="E314" s="3" t="s">
        <v>72</v>
      </c>
      <c r="F314" s="4" t="s">
        <v>34</v>
      </c>
      <c r="G314" s="4" t="s">
        <v>35</v>
      </c>
      <c r="H314" s="5" t="n">
        <f aca="false">IFERROR(INDEX(Ksat_Lookup!$B$9:$B$18,MATCH(F314,Ksat_Lookup!$A$9:$A$18,0)),"")</f>
        <v>-13.85</v>
      </c>
      <c r="I314" s="6" t="n">
        <f aca="false">IF(H314="","",10^H314*Ksat_Lookup!$B$5)</f>
        <v>1.38569933127492E-007</v>
      </c>
      <c r="J314" s="6" t="n">
        <f aca="false">IF(I314="","",I314*Ksat_Lookup!$B$6)</f>
        <v>0.0119724422222153</v>
      </c>
      <c r="K314" s="4"/>
      <c r="L314" s="6"/>
    </row>
    <row r="315" customFormat="false" ht="15" hidden="false" customHeight="false" outlineLevel="0" collapsed="false">
      <c r="A315" s="3" t="n">
        <v>314</v>
      </c>
      <c r="B315" s="3" t="s">
        <v>400</v>
      </c>
      <c r="C315" s="3" t="s">
        <v>13</v>
      </c>
      <c r="D315" s="3" t="s">
        <v>17</v>
      </c>
      <c r="E315" s="3" t="s">
        <v>39</v>
      </c>
      <c r="F315" s="4" t="s">
        <v>15</v>
      </c>
      <c r="G315" s="4" t="s">
        <v>15</v>
      </c>
      <c r="H315" s="5" t="n">
        <f aca="false">IFERROR(INDEX(Ksat_Lookup!$B$9:$B$18,MATCH(F315,Ksat_Lookup!$A$9:$A$18,0)),"")</f>
        <v>-12.5</v>
      </c>
      <c r="I315" s="6" t="n">
        <f aca="false">IF(H315="","",10^H315*Ksat_Lookup!$B$5)</f>
        <v>3.10219438462518E-006</v>
      </c>
      <c r="J315" s="6" t="n">
        <f aca="false">IF(I315="","",I315*Ksat_Lookup!$B$6)</f>
        <v>0.268029594831616</v>
      </c>
      <c r="K315" s="4"/>
      <c r="L315" s="6"/>
    </row>
    <row r="316" customFormat="false" ht="15" hidden="false" customHeight="false" outlineLevel="0" collapsed="false">
      <c r="A316" s="3" t="n">
        <v>315</v>
      </c>
      <c r="B316" s="3" t="s">
        <v>401</v>
      </c>
      <c r="C316" s="3" t="s">
        <v>13</v>
      </c>
      <c r="D316" s="3" t="s">
        <v>72</v>
      </c>
      <c r="E316" s="3" t="s">
        <v>72</v>
      </c>
      <c r="F316" s="4" t="s">
        <v>15</v>
      </c>
      <c r="G316" s="4" t="s">
        <v>15</v>
      </c>
      <c r="H316" s="5" t="n">
        <f aca="false">IFERROR(INDEX(Ksat_Lookup!$B$9:$B$18,MATCH(F316,Ksat_Lookup!$A$9:$A$18,0)),"")</f>
        <v>-12.5</v>
      </c>
      <c r="I316" s="6" t="n">
        <f aca="false">IF(H316="","",10^H316*Ksat_Lookup!$B$5)</f>
        <v>3.10219438462518E-006</v>
      </c>
      <c r="J316" s="6" t="n">
        <f aca="false">IF(I316="","",I316*Ksat_Lookup!$B$6)</f>
        <v>0.268029594831616</v>
      </c>
      <c r="K316" s="4"/>
      <c r="L316" s="6"/>
    </row>
    <row r="317" customFormat="false" ht="15" hidden="false" customHeight="false" outlineLevel="0" collapsed="false">
      <c r="A317" s="3" t="n">
        <v>316</v>
      </c>
      <c r="B317" s="3" t="s">
        <v>402</v>
      </c>
      <c r="C317" s="3" t="s">
        <v>19</v>
      </c>
      <c r="D317" s="3" t="s">
        <v>114</v>
      </c>
      <c r="E317" s="3" t="s">
        <v>137</v>
      </c>
      <c r="F317" s="4" t="s">
        <v>22</v>
      </c>
      <c r="G317" s="4" t="s">
        <v>23</v>
      </c>
      <c r="H317" s="5" t="n">
        <f aca="false">IFERROR(INDEX(Ksat_Lookup!$B$9:$B$18,MATCH(F317,Ksat_Lookup!$A$9:$A$18,0)),"")</f>
        <v>-15.2</v>
      </c>
      <c r="I317" s="6" t="n">
        <f aca="false">IF(H317="","",10^H317*Ksat_Lookup!$B$5)</f>
        <v>6.18969154935071E-009</v>
      </c>
      <c r="J317" s="6" t="n">
        <f aca="false">IF(I317="","",I317*Ksat_Lookup!$B$6)</f>
        <v>0.000534789349863901</v>
      </c>
      <c r="K317" s="4"/>
      <c r="L317" s="6"/>
    </row>
    <row r="318" customFormat="false" ht="15" hidden="false" customHeight="false" outlineLevel="0" collapsed="false">
      <c r="A318" s="3" t="n">
        <v>317</v>
      </c>
      <c r="B318" s="3" t="s">
        <v>403</v>
      </c>
      <c r="C318" s="3" t="s">
        <v>19</v>
      </c>
      <c r="D318" s="3" t="s">
        <v>202</v>
      </c>
      <c r="E318" s="3" t="s">
        <v>202</v>
      </c>
      <c r="F318" s="4" t="s">
        <v>22</v>
      </c>
      <c r="G318" s="4" t="s">
        <v>23</v>
      </c>
      <c r="H318" s="5" t="n">
        <f aca="false">IFERROR(INDEX(Ksat_Lookup!$B$9:$B$18,MATCH(F318,Ksat_Lookup!$A$9:$A$18,0)),"")</f>
        <v>-15.2</v>
      </c>
      <c r="I318" s="6" t="n">
        <f aca="false">IF(H318="","",10^H318*Ksat_Lookup!$B$5)</f>
        <v>6.18969154935071E-009</v>
      </c>
      <c r="J318" s="6" t="n">
        <f aca="false">IF(I318="","",I318*Ksat_Lookup!$B$6)</f>
        <v>0.000534789349863901</v>
      </c>
      <c r="K318" s="4"/>
      <c r="L318" s="6"/>
    </row>
    <row r="319" customFormat="false" ht="15" hidden="false" customHeight="false" outlineLevel="0" collapsed="false">
      <c r="A319" s="3" t="n">
        <v>318</v>
      </c>
      <c r="B319" s="3" t="s">
        <v>404</v>
      </c>
      <c r="C319" s="3" t="s">
        <v>13</v>
      </c>
      <c r="D319" s="3" t="s">
        <v>64</v>
      </c>
      <c r="E319" s="3" t="s">
        <v>64</v>
      </c>
      <c r="F319" s="4" t="s">
        <v>15</v>
      </c>
      <c r="G319" s="4" t="s">
        <v>15</v>
      </c>
      <c r="H319" s="5" t="n">
        <f aca="false">IFERROR(INDEX(Ksat_Lookup!$B$9:$B$18,MATCH(F319,Ksat_Lookup!$A$9:$A$18,0)),"")</f>
        <v>-12.5</v>
      </c>
      <c r="I319" s="6" t="n">
        <f aca="false">IF(H319="","",10^H319*Ksat_Lookup!$B$5)</f>
        <v>3.10219438462518E-006</v>
      </c>
      <c r="J319" s="6" t="n">
        <f aca="false">IF(I319="","",I319*Ksat_Lookup!$B$6)</f>
        <v>0.268029594831616</v>
      </c>
      <c r="K319" s="4"/>
      <c r="L319" s="6"/>
    </row>
    <row r="320" customFormat="false" ht="15" hidden="false" customHeight="false" outlineLevel="0" collapsed="false">
      <c r="A320" s="3" t="n">
        <v>319</v>
      </c>
      <c r="B320" s="3" t="s">
        <v>405</v>
      </c>
      <c r="C320" s="3" t="s">
        <v>13</v>
      </c>
      <c r="D320" s="3" t="s">
        <v>63</v>
      </c>
      <c r="E320" s="3" t="s">
        <v>64</v>
      </c>
      <c r="F320" s="4" t="s">
        <v>15</v>
      </c>
      <c r="G320" s="4" t="s">
        <v>15</v>
      </c>
      <c r="H320" s="5" t="n">
        <f aca="false">IFERROR(INDEX(Ksat_Lookup!$B$9:$B$18,MATCH(F320,Ksat_Lookup!$A$9:$A$18,0)),"")</f>
        <v>-12.5</v>
      </c>
      <c r="I320" s="6" t="n">
        <f aca="false">IF(H320="","",10^H320*Ksat_Lookup!$B$5)</f>
        <v>3.10219438462518E-006</v>
      </c>
      <c r="J320" s="6" t="n">
        <f aca="false">IF(I320="","",I320*Ksat_Lookup!$B$6)</f>
        <v>0.268029594831616</v>
      </c>
      <c r="K320" s="4"/>
      <c r="L320" s="6"/>
    </row>
    <row r="321" customFormat="false" ht="15" hidden="false" customHeight="false" outlineLevel="0" collapsed="false">
      <c r="A321" s="3" t="n">
        <v>320</v>
      </c>
      <c r="B321" s="3" t="s">
        <v>406</v>
      </c>
      <c r="C321" s="3" t="s">
        <v>13</v>
      </c>
      <c r="D321" s="3" t="s">
        <v>14</v>
      </c>
      <c r="E321" s="3" t="s">
        <v>17</v>
      </c>
      <c r="F321" s="4" t="s">
        <v>15</v>
      </c>
      <c r="G321" s="4" t="s">
        <v>15</v>
      </c>
      <c r="H321" s="5" t="n">
        <f aca="false">IFERROR(INDEX(Ksat_Lookup!$B$9:$B$18,MATCH(F321,Ksat_Lookup!$A$9:$A$18,0)),"")</f>
        <v>-12.5</v>
      </c>
      <c r="I321" s="6" t="n">
        <f aca="false">IF(H321="","",10^H321*Ksat_Lookup!$B$5)</f>
        <v>3.10219438462518E-006</v>
      </c>
      <c r="J321" s="6" t="n">
        <f aca="false">IF(I321="","",I321*Ksat_Lookup!$B$6)</f>
        <v>0.268029594831616</v>
      </c>
      <c r="K321" s="4"/>
      <c r="L321" s="6"/>
    </row>
    <row r="322" customFormat="false" ht="15" hidden="false" customHeight="false" outlineLevel="0" collapsed="false">
      <c r="A322" s="3" t="n">
        <v>321</v>
      </c>
      <c r="B322" s="3" t="s">
        <v>407</v>
      </c>
      <c r="C322" s="3" t="s">
        <v>13</v>
      </c>
      <c r="D322" s="3" t="s">
        <v>87</v>
      </c>
      <c r="E322" s="3" t="s">
        <v>87</v>
      </c>
      <c r="F322" s="4" t="s">
        <v>15</v>
      </c>
      <c r="G322" s="4" t="s">
        <v>15</v>
      </c>
      <c r="H322" s="5" t="n">
        <f aca="false">IFERROR(INDEX(Ksat_Lookup!$B$9:$B$18,MATCH(F322,Ksat_Lookup!$A$9:$A$18,0)),"")</f>
        <v>-12.5</v>
      </c>
      <c r="I322" s="6" t="n">
        <f aca="false">IF(H322="","",10^H322*Ksat_Lookup!$B$5)</f>
        <v>3.10219438462518E-006</v>
      </c>
      <c r="J322" s="6" t="n">
        <f aca="false">IF(I322="","",I322*Ksat_Lookup!$B$6)</f>
        <v>0.268029594831616</v>
      </c>
      <c r="K322" s="4"/>
      <c r="L322" s="6"/>
    </row>
    <row r="323" customFormat="false" ht="15" hidden="false" customHeight="false" outlineLevel="0" collapsed="false">
      <c r="A323" s="3" t="n">
        <v>322</v>
      </c>
      <c r="B323" s="3" t="s">
        <v>408</v>
      </c>
      <c r="C323" s="3" t="s">
        <v>13</v>
      </c>
      <c r="D323" s="3" t="s">
        <v>33</v>
      </c>
      <c r="E323" s="3" t="s">
        <v>33</v>
      </c>
      <c r="F323" s="4" t="s">
        <v>15</v>
      </c>
      <c r="G323" s="4" t="s">
        <v>15</v>
      </c>
      <c r="H323" s="5" t="n">
        <f aca="false">IFERROR(INDEX(Ksat_Lookup!$B$9:$B$18,MATCH(F323,Ksat_Lookup!$A$9:$A$18,0)),"")</f>
        <v>-12.5</v>
      </c>
      <c r="I323" s="6" t="n">
        <f aca="false">IF(H323="","",10^H323*Ksat_Lookup!$B$5)</f>
        <v>3.10219438462518E-006</v>
      </c>
      <c r="J323" s="6" t="n">
        <f aca="false">IF(I323="","",I323*Ksat_Lookup!$B$6)</f>
        <v>0.268029594831616</v>
      </c>
      <c r="K323" s="4"/>
      <c r="L323" s="6"/>
    </row>
    <row r="324" customFormat="false" ht="15" hidden="false" customHeight="false" outlineLevel="0" collapsed="false">
      <c r="A324" s="3" t="n">
        <v>323</v>
      </c>
      <c r="B324" s="3" t="s">
        <v>409</v>
      </c>
      <c r="C324" s="3" t="s">
        <v>50</v>
      </c>
      <c r="D324" s="3" t="s">
        <v>28</v>
      </c>
      <c r="E324" s="3" t="s">
        <v>28</v>
      </c>
      <c r="F324" s="4" t="s">
        <v>51</v>
      </c>
      <c r="G324" s="4" t="s">
        <v>52</v>
      </c>
      <c r="H324" s="5" t="n">
        <f aca="false">IFERROR(INDEX(Ksat_Lookup!$B$9:$B$18,MATCH(F324,Ksat_Lookup!$A$9:$A$18,0)),"")</f>
        <v>-14.1</v>
      </c>
      <c r="I324" s="6" t="n">
        <f aca="false">IF(H324="","",10^H324*Ksat_Lookup!$B$5)</f>
        <v>7.79235998264521E-008</v>
      </c>
      <c r="J324" s="6" t="n">
        <f aca="false">IF(I324="","",I324*Ksat_Lookup!$B$6)</f>
        <v>0.00673259902500546</v>
      </c>
      <c r="K324" s="4"/>
      <c r="L324" s="6"/>
    </row>
    <row r="325" customFormat="false" ht="15" hidden="false" customHeight="false" outlineLevel="0" collapsed="false">
      <c r="A325" s="3" t="n">
        <v>324</v>
      </c>
      <c r="B325" s="3" t="s">
        <v>410</v>
      </c>
      <c r="C325" s="3" t="s">
        <v>19</v>
      </c>
      <c r="D325" s="3" t="s">
        <v>66</v>
      </c>
      <c r="E325" s="3" t="s">
        <v>108</v>
      </c>
      <c r="F325" s="4" t="s">
        <v>22</v>
      </c>
      <c r="G325" s="4" t="s">
        <v>23</v>
      </c>
      <c r="H325" s="5" t="n">
        <f aca="false">IFERROR(INDEX(Ksat_Lookup!$B$9:$B$18,MATCH(F325,Ksat_Lookup!$A$9:$A$18,0)),"")</f>
        <v>-15.2</v>
      </c>
      <c r="I325" s="6" t="n">
        <f aca="false">IF(H325="","",10^H325*Ksat_Lookup!$B$5)</f>
        <v>6.18969154935071E-009</v>
      </c>
      <c r="J325" s="6" t="n">
        <f aca="false">IF(I325="","",I325*Ksat_Lookup!$B$6)</f>
        <v>0.000534789349863901</v>
      </c>
      <c r="K325" s="4"/>
      <c r="L325" s="6"/>
    </row>
    <row r="326" customFormat="false" ht="15" hidden="false" customHeight="false" outlineLevel="0" collapsed="false">
      <c r="A326" s="3" t="n">
        <v>325</v>
      </c>
      <c r="B326" s="3" t="s">
        <v>411</v>
      </c>
      <c r="C326" s="3" t="s">
        <v>19</v>
      </c>
      <c r="D326" s="3" t="s">
        <v>108</v>
      </c>
      <c r="E326" s="3" t="s">
        <v>108</v>
      </c>
      <c r="F326" s="4" t="s">
        <v>22</v>
      </c>
      <c r="G326" s="4" t="s">
        <v>23</v>
      </c>
      <c r="H326" s="5" t="n">
        <f aca="false">IFERROR(INDEX(Ksat_Lookup!$B$9:$B$18,MATCH(F326,Ksat_Lookup!$A$9:$A$18,0)),"")</f>
        <v>-15.2</v>
      </c>
      <c r="I326" s="6" t="n">
        <f aca="false">IF(H326="","",10^H326*Ksat_Lookup!$B$5)</f>
        <v>6.18969154935071E-009</v>
      </c>
      <c r="J326" s="6" t="n">
        <f aca="false">IF(I326="","",I326*Ksat_Lookup!$B$6)</f>
        <v>0.000534789349863901</v>
      </c>
      <c r="K326" s="4"/>
      <c r="L326" s="6"/>
    </row>
    <row r="327" customFormat="false" ht="15" hidden="false" customHeight="false" outlineLevel="0" collapsed="false">
      <c r="A327" s="3" t="n">
        <v>326</v>
      </c>
      <c r="B327" s="3" t="s">
        <v>412</v>
      </c>
      <c r="C327" s="3" t="s">
        <v>413</v>
      </c>
      <c r="D327" s="3" t="s">
        <v>414</v>
      </c>
      <c r="E327" s="3" t="s">
        <v>414</v>
      </c>
      <c r="F327" s="4" t="s">
        <v>46</v>
      </c>
      <c r="G327" s="4" t="s">
        <v>47</v>
      </c>
      <c r="H327" s="5" t="str">
        <f aca="false">IFERROR(INDEX(Ksat_Lookup!$B$9:$B$18,MATCH(F327,Ksat_Lookup!$A$9:$A$18,0)),"")</f>
        <v/>
      </c>
      <c r="I327" s="6" t="str">
        <f aca="false">IF(H327="","",10^H327*Ksat_Lookup!$B$5)</f>
        <v/>
      </c>
      <c r="J327" s="6" t="str">
        <f aca="false">IF(I327="","",I327*Ksat_Lookup!$B$6)</f>
        <v/>
      </c>
      <c r="K327" s="4"/>
      <c r="L327" s="6"/>
    </row>
    <row r="328" customFormat="false" ht="15" hidden="false" customHeight="false" outlineLevel="0" collapsed="false">
      <c r="A328" s="3" t="n">
        <v>327</v>
      </c>
      <c r="B328" s="3" t="s">
        <v>415</v>
      </c>
      <c r="C328" s="3" t="s">
        <v>19</v>
      </c>
      <c r="D328" s="3" t="s">
        <v>14</v>
      </c>
      <c r="E328" s="3" t="s">
        <v>14</v>
      </c>
      <c r="F328" s="4" t="s">
        <v>25</v>
      </c>
      <c r="G328" s="4" t="s">
        <v>26</v>
      </c>
      <c r="H328" s="5" t="n">
        <f aca="false">IFERROR(INDEX(Ksat_Lookup!$B$9:$B$18,MATCH(F328,Ksat_Lookup!$A$9:$A$18,0)),"")</f>
        <v>-13</v>
      </c>
      <c r="I328" s="6" t="n">
        <f aca="false">IF(H328="","",10^H328*Ksat_Lookup!$B$5)</f>
        <v>9.81E-007</v>
      </c>
      <c r="J328" s="6" t="n">
        <f aca="false">IF(I328="","",I328*Ksat_Lookup!$B$6)</f>
        <v>0.0847584</v>
      </c>
      <c r="K328" s="4"/>
      <c r="L328" s="6"/>
    </row>
    <row r="329" customFormat="false" ht="15" hidden="false" customHeight="false" outlineLevel="0" collapsed="false">
      <c r="A329" s="3" t="n">
        <v>328</v>
      </c>
      <c r="B329" s="3" t="s">
        <v>416</v>
      </c>
      <c r="C329" s="3" t="s">
        <v>50</v>
      </c>
      <c r="D329" s="3" t="s">
        <v>202</v>
      </c>
      <c r="E329" s="3" t="s">
        <v>202</v>
      </c>
      <c r="F329" s="4" t="s">
        <v>51</v>
      </c>
      <c r="G329" s="4" t="s">
        <v>52</v>
      </c>
      <c r="H329" s="5" t="n">
        <f aca="false">IFERROR(INDEX(Ksat_Lookup!$B$9:$B$18,MATCH(F329,Ksat_Lookup!$A$9:$A$18,0)),"")</f>
        <v>-14.1</v>
      </c>
      <c r="I329" s="6" t="n">
        <f aca="false">IF(H329="","",10^H329*Ksat_Lookup!$B$5)</f>
        <v>7.79235998264521E-008</v>
      </c>
      <c r="J329" s="6" t="n">
        <f aca="false">IF(I329="","",I329*Ksat_Lookup!$B$6)</f>
        <v>0.00673259902500546</v>
      </c>
      <c r="K329" s="4"/>
      <c r="L329" s="6"/>
    </row>
    <row r="330" customFormat="false" ht="15" hidden="false" customHeight="false" outlineLevel="0" collapsed="false">
      <c r="A330" s="3" t="n">
        <v>329</v>
      </c>
      <c r="B330" s="3" t="s">
        <v>417</v>
      </c>
      <c r="C330" s="3" t="s">
        <v>50</v>
      </c>
      <c r="D330" s="3" t="s">
        <v>418</v>
      </c>
      <c r="E330" s="3" t="s">
        <v>33</v>
      </c>
      <c r="F330" s="4" t="s">
        <v>51</v>
      </c>
      <c r="G330" s="4" t="s">
        <v>52</v>
      </c>
      <c r="H330" s="5" t="n">
        <f aca="false">IFERROR(INDEX(Ksat_Lookup!$B$9:$B$18,MATCH(F330,Ksat_Lookup!$A$9:$A$18,0)),"")</f>
        <v>-14.1</v>
      </c>
      <c r="I330" s="6" t="n">
        <f aca="false">IF(H330="","",10^H330*Ksat_Lookup!$B$5)</f>
        <v>7.79235998264521E-008</v>
      </c>
      <c r="J330" s="6" t="n">
        <f aca="false">IF(I330="","",I330*Ksat_Lookup!$B$6)</f>
        <v>0.00673259902500546</v>
      </c>
      <c r="K330" s="4"/>
      <c r="L330" s="6"/>
    </row>
    <row r="331" customFormat="false" ht="15" hidden="false" customHeight="false" outlineLevel="0" collapsed="false">
      <c r="A331" s="3" t="n">
        <v>330</v>
      </c>
      <c r="B331" s="3" t="s">
        <v>419</v>
      </c>
      <c r="C331" s="3" t="s">
        <v>413</v>
      </c>
      <c r="D331" s="3" t="s">
        <v>414</v>
      </c>
      <c r="E331" s="3" t="s">
        <v>414</v>
      </c>
      <c r="F331" s="4" t="s">
        <v>46</v>
      </c>
      <c r="G331" s="4" t="s">
        <v>47</v>
      </c>
      <c r="H331" s="5" t="str">
        <f aca="false">IFERROR(INDEX(Ksat_Lookup!$B$9:$B$18,MATCH(F331,Ksat_Lookup!$A$9:$A$18,0)),"")</f>
        <v/>
      </c>
      <c r="I331" s="6" t="str">
        <f aca="false">IF(H331="","",10^H331*Ksat_Lookup!$B$5)</f>
        <v/>
      </c>
      <c r="J331" s="6" t="str">
        <f aca="false">IF(I331="","",I331*Ksat_Lookup!$B$6)</f>
        <v/>
      </c>
      <c r="K331" s="4"/>
      <c r="L331" s="6"/>
    </row>
    <row r="332" customFormat="false" ht="15" hidden="false" customHeight="false" outlineLevel="0" collapsed="false">
      <c r="A332" s="3" t="n">
        <v>331</v>
      </c>
      <c r="B332" s="3" t="s">
        <v>420</v>
      </c>
      <c r="C332" s="3" t="s">
        <v>50</v>
      </c>
      <c r="D332" s="3" t="s">
        <v>21</v>
      </c>
      <c r="E332" s="3" t="s">
        <v>21</v>
      </c>
      <c r="F332" s="4" t="s">
        <v>51</v>
      </c>
      <c r="G332" s="4" t="s">
        <v>52</v>
      </c>
      <c r="H332" s="5" t="n">
        <f aca="false">IFERROR(INDEX(Ksat_Lookup!$B$9:$B$18,MATCH(F332,Ksat_Lookup!$A$9:$A$18,0)),"")</f>
        <v>-14.1</v>
      </c>
      <c r="I332" s="6" t="n">
        <f aca="false">IF(H332="","",10^H332*Ksat_Lookup!$B$5)</f>
        <v>7.79235998264521E-008</v>
      </c>
      <c r="J332" s="6" t="n">
        <f aca="false">IF(I332="","",I332*Ksat_Lookup!$B$6)</f>
        <v>0.00673259902500546</v>
      </c>
      <c r="K332" s="4"/>
      <c r="L332" s="6"/>
    </row>
    <row r="333" customFormat="false" ht="15" hidden="false" customHeight="false" outlineLevel="0" collapsed="false">
      <c r="A333" s="3" t="n">
        <v>332</v>
      </c>
      <c r="B333" s="3" t="s">
        <v>421</v>
      </c>
      <c r="C333" s="3" t="s">
        <v>422</v>
      </c>
      <c r="D333" s="3" t="s">
        <v>423</v>
      </c>
      <c r="E333" s="3" t="s">
        <v>423</v>
      </c>
      <c r="F333" s="4" t="s">
        <v>46</v>
      </c>
      <c r="G333" s="4" t="s">
        <v>47</v>
      </c>
      <c r="H333" s="5" t="str">
        <f aca="false">IFERROR(INDEX(Ksat_Lookup!$B$9:$B$18,MATCH(F333,Ksat_Lookup!$A$9:$A$18,0)),"")</f>
        <v/>
      </c>
      <c r="I333" s="6" t="str">
        <f aca="false">IF(H333="","",10^H333*Ksat_Lookup!$B$5)</f>
        <v/>
      </c>
      <c r="J333" s="6" t="str">
        <f aca="false">IF(I333="","",I333*Ksat_Lookup!$B$6)</f>
        <v/>
      </c>
      <c r="K333" s="4"/>
      <c r="L333" s="6"/>
    </row>
    <row r="334" customFormat="false" ht="15" hidden="false" customHeight="false" outlineLevel="0" collapsed="false">
      <c r="A334" s="3" t="n">
        <v>333</v>
      </c>
      <c r="B334" s="3" t="s">
        <v>424</v>
      </c>
      <c r="C334" s="3" t="s">
        <v>50</v>
      </c>
      <c r="D334" s="3" t="s">
        <v>56</v>
      </c>
      <c r="E334" s="3" t="s">
        <v>56</v>
      </c>
      <c r="F334" s="4" t="s">
        <v>51</v>
      </c>
      <c r="G334" s="4" t="s">
        <v>52</v>
      </c>
      <c r="H334" s="5" t="n">
        <f aca="false">IFERROR(INDEX(Ksat_Lookup!$B$9:$B$18,MATCH(F334,Ksat_Lookup!$A$9:$A$18,0)),"")</f>
        <v>-14.1</v>
      </c>
      <c r="I334" s="6" t="n">
        <f aca="false">IF(H334="","",10^H334*Ksat_Lookup!$B$5)</f>
        <v>7.79235998264521E-008</v>
      </c>
      <c r="J334" s="6" t="n">
        <f aca="false">IF(I334="","",I334*Ksat_Lookup!$B$6)</f>
        <v>0.00673259902500546</v>
      </c>
      <c r="K334" s="4"/>
      <c r="L334" s="6"/>
    </row>
    <row r="335" customFormat="false" ht="15" hidden="false" customHeight="false" outlineLevel="0" collapsed="false">
      <c r="A335" s="3" t="n">
        <v>334</v>
      </c>
      <c r="B335" s="3" t="s">
        <v>425</v>
      </c>
      <c r="C335" s="3" t="s">
        <v>19</v>
      </c>
      <c r="D335" s="3" t="s">
        <v>200</v>
      </c>
      <c r="E335" s="3" t="s">
        <v>66</v>
      </c>
      <c r="F335" s="4" t="s">
        <v>22</v>
      </c>
      <c r="G335" s="4" t="s">
        <v>23</v>
      </c>
      <c r="H335" s="5" t="n">
        <f aca="false">IFERROR(INDEX(Ksat_Lookup!$B$9:$B$18,MATCH(F335,Ksat_Lookup!$A$9:$A$18,0)),"")</f>
        <v>-15.2</v>
      </c>
      <c r="I335" s="6" t="n">
        <f aca="false">IF(H335="","",10^H335*Ksat_Lookup!$B$5)</f>
        <v>6.18969154935071E-009</v>
      </c>
      <c r="J335" s="6" t="n">
        <f aca="false">IF(I335="","",I335*Ksat_Lookup!$B$6)</f>
        <v>0.000534789349863901</v>
      </c>
      <c r="K335" s="4"/>
      <c r="L335" s="6"/>
    </row>
    <row r="336" customFormat="false" ht="15" hidden="false" customHeight="false" outlineLevel="0" collapsed="false">
      <c r="A336" s="3" t="n">
        <v>335</v>
      </c>
      <c r="B336" s="3" t="s">
        <v>426</v>
      </c>
      <c r="C336" s="3" t="s">
        <v>19</v>
      </c>
      <c r="D336" s="3" t="s">
        <v>108</v>
      </c>
      <c r="E336" s="3" t="s">
        <v>108</v>
      </c>
      <c r="F336" s="4" t="s">
        <v>22</v>
      </c>
      <c r="G336" s="4" t="s">
        <v>23</v>
      </c>
      <c r="H336" s="5" t="n">
        <f aca="false">IFERROR(INDEX(Ksat_Lookup!$B$9:$B$18,MATCH(F336,Ksat_Lookup!$A$9:$A$18,0)),"")</f>
        <v>-15.2</v>
      </c>
      <c r="I336" s="6" t="n">
        <f aca="false">IF(H336="","",10^H336*Ksat_Lookup!$B$5)</f>
        <v>6.18969154935071E-009</v>
      </c>
      <c r="J336" s="6" t="n">
        <f aca="false">IF(I336="","",I336*Ksat_Lookup!$B$6)</f>
        <v>0.000534789349863901</v>
      </c>
      <c r="K336" s="4"/>
      <c r="L336" s="6"/>
    </row>
    <row r="337" customFormat="false" ht="15" hidden="false" customHeight="false" outlineLevel="0" collapsed="false">
      <c r="A337" s="3" t="n">
        <v>336</v>
      </c>
      <c r="B337" s="3" t="s">
        <v>427</v>
      </c>
      <c r="C337" s="3" t="s">
        <v>13</v>
      </c>
      <c r="D337" s="3" t="s">
        <v>56</v>
      </c>
      <c r="E337" s="3" t="s">
        <v>56</v>
      </c>
      <c r="F337" s="4" t="s">
        <v>15</v>
      </c>
      <c r="G337" s="4" t="s">
        <v>15</v>
      </c>
      <c r="H337" s="5" t="n">
        <f aca="false">IFERROR(INDEX(Ksat_Lookup!$B$9:$B$18,MATCH(F337,Ksat_Lookup!$A$9:$A$18,0)),"")</f>
        <v>-12.5</v>
      </c>
      <c r="I337" s="6" t="n">
        <f aca="false">IF(H337="","",10^H337*Ksat_Lookup!$B$5)</f>
        <v>3.10219438462518E-006</v>
      </c>
      <c r="J337" s="6" t="n">
        <f aca="false">IF(I337="","",I337*Ksat_Lookup!$B$6)</f>
        <v>0.268029594831616</v>
      </c>
      <c r="K337" s="4"/>
      <c r="L337" s="6"/>
    </row>
    <row r="338" customFormat="false" ht="15" hidden="false" customHeight="false" outlineLevel="0" collapsed="false">
      <c r="A338" s="3" t="n">
        <v>337</v>
      </c>
      <c r="B338" s="3" t="s">
        <v>428</v>
      </c>
      <c r="C338" s="3" t="s">
        <v>50</v>
      </c>
      <c r="D338" s="3" t="s">
        <v>56</v>
      </c>
      <c r="E338" s="3" t="s">
        <v>56</v>
      </c>
      <c r="F338" s="4" t="s">
        <v>51</v>
      </c>
      <c r="G338" s="4" t="s">
        <v>52</v>
      </c>
      <c r="H338" s="5" t="n">
        <f aca="false">IFERROR(INDEX(Ksat_Lookup!$B$9:$B$18,MATCH(F338,Ksat_Lookup!$A$9:$A$18,0)),"")</f>
        <v>-14.1</v>
      </c>
      <c r="I338" s="6" t="n">
        <f aca="false">IF(H338="","",10^H338*Ksat_Lookup!$B$5)</f>
        <v>7.79235998264521E-008</v>
      </c>
      <c r="J338" s="6" t="n">
        <f aca="false">IF(I338="","",I338*Ksat_Lookup!$B$6)</f>
        <v>0.00673259902500546</v>
      </c>
      <c r="K338" s="4"/>
      <c r="L338" s="6"/>
    </row>
    <row r="339" customFormat="false" ht="15" hidden="false" customHeight="false" outlineLevel="0" collapsed="false">
      <c r="A339" s="3" t="n">
        <v>338</v>
      </c>
      <c r="B339" s="3" t="s">
        <v>429</v>
      </c>
      <c r="C339" s="3" t="s">
        <v>50</v>
      </c>
      <c r="D339" s="3" t="s">
        <v>202</v>
      </c>
      <c r="E339" s="3" t="s">
        <v>202</v>
      </c>
      <c r="F339" s="4" t="s">
        <v>51</v>
      </c>
      <c r="G339" s="4" t="s">
        <v>52</v>
      </c>
      <c r="H339" s="5" t="n">
        <f aca="false">IFERROR(INDEX(Ksat_Lookup!$B$9:$B$18,MATCH(F339,Ksat_Lookup!$A$9:$A$18,0)),"")</f>
        <v>-14.1</v>
      </c>
      <c r="I339" s="6" t="n">
        <f aca="false">IF(H339="","",10^H339*Ksat_Lookup!$B$5)</f>
        <v>7.79235998264521E-008</v>
      </c>
      <c r="J339" s="6" t="n">
        <f aca="false">IF(I339="","",I339*Ksat_Lookup!$B$6)</f>
        <v>0.00673259902500546</v>
      </c>
      <c r="K339" s="4"/>
      <c r="L339" s="6"/>
    </row>
    <row r="340" customFormat="false" ht="15" hidden="false" customHeight="false" outlineLevel="0" collapsed="false">
      <c r="A340" s="3" t="n">
        <v>339</v>
      </c>
      <c r="B340" s="3" t="s">
        <v>430</v>
      </c>
      <c r="C340" s="3" t="s">
        <v>19</v>
      </c>
      <c r="D340" s="3" t="s">
        <v>28</v>
      </c>
      <c r="E340" s="3" t="s">
        <v>108</v>
      </c>
      <c r="F340" s="4" t="s">
        <v>22</v>
      </c>
      <c r="G340" s="4" t="s">
        <v>23</v>
      </c>
      <c r="H340" s="5" t="n">
        <f aca="false">IFERROR(INDEX(Ksat_Lookup!$B$9:$B$18,MATCH(F340,Ksat_Lookup!$A$9:$A$18,0)),"")</f>
        <v>-15.2</v>
      </c>
      <c r="I340" s="6" t="n">
        <f aca="false">IF(H340="","",10^H340*Ksat_Lookup!$B$5)</f>
        <v>6.18969154935071E-009</v>
      </c>
      <c r="J340" s="6" t="n">
        <f aca="false">IF(I340="","",I340*Ksat_Lookup!$B$6)</f>
        <v>0.000534789349863901</v>
      </c>
      <c r="K340" s="4"/>
      <c r="L340" s="6"/>
    </row>
    <row r="341" customFormat="false" ht="15" hidden="false" customHeight="false" outlineLevel="0" collapsed="false">
      <c r="A341" s="3" t="n">
        <v>340</v>
      </c>
      <c r="B341" s="3" t="s">
        <v>431</v>
      </c>
      <c r="C341" s="3" t="s">
        <v>19</v>
      </c>
      <c r="D341" s="3" t="s">
        <v>66</v>
      </c>
      <c r="E341" s="3" t="s">
        <v>108</v>
      </c>
      <c r="F341" s="4" t="s">
        <v>22</v>
      </c>
      <c r="G341" s="4" t="s">
        <v>23</v>
      </c>
      <c r="H341" s="5" t="n">
        <f aca="false">IFERROR(INDEX(Ksat_Lookup!$B$9:$B$18,MATCH(F341,Ksat_Lookup!$A$9:$A$18,0)),"")</f>
        <v>-15.2</v>
      </c>
      <c r="I341" s="6" t="n">
        <f aca="false">IF(H341="","",10^H341*Ksat_Lookup!$B$5)</f>
        <v>6.18969154935071E-009</v>
      </c>
      <c r="J341" s="6" t="n">
        <f aca="false">IF(I341="","",I341*Ksat_Lookup!$B$6)</f>
        <v>0.000534789349863901</v>
      </c>
      <c r="K341" s="4"/>
      <c r="L341" s="6"/>
    </row>
    <row r="342" customFormat="false" ht="15" hidden="false" customHeight="false" outlineLevel="0" collapsed="false">
      <c r="A342" s="3" t="n">
        <v>341</v>
      </c>
      <c r="B342" s="3" t="s">
        <v>432</v>
      </c>
      <c r="C342" s="3" t="s">
        <v>433</v>
      </c>
      <c r="D342" s="3" t="s">
        <v>414</v>
      </c>
      <c r="E342" s="3" t="s">
        <v>414</v>
      </c>
      <c r="F342" s="4" t="s">
        <v>46</v>
      </c>
      <c r="G342" s="4" t="s">
        <v>47</v>
      </c>
      <c r="H342" s="5" t="str">
        <f aca="false">IFERROR(INDEX(Ksat_Lookup!$B$9:$B$18,MATCH(F342,Ksat_Lookup!$A$9:$A$18,0)),"")</f>
        <v/>
      </c>
      <c r="I342" s="6" t="str">
        <f aca="false">IF(H342="","",10^H342*Ksat_Lookup!$B$5)</f>
        <v/>
      </c>
      <c r="J342" s="6" t="str">
        <f aca="false">IF(I342="","",I342*Ksat_Lookup!$B$6)</f>
        <v/>
      </c>
      <c r="K342" s="4"/>
      <c r="L342" s="6"/>
    </row>
    <row r="343" customFormat="false" ht="15" hidden="false" customHeight="false" outlineLevel="0" collapsed="false">
      <c r="A343" s="3" t="n">
        <v>342</v>
      </c>
      <c r="B343" s="3" t="s">
        <v>434</v>
      </c>
      <c r="C343" s="3" t="s">
        <v>19</v>
      </c>
      <c r="D343" s="3" t="s">
        <v>418</v>
      </c>
      <c r="E343" s="3" t="s">
        <v>418</v>
      </c>
      <c r="F343" s="4" t="s">
        <v>22</v>
      </c>
      <c r="G343" s="4" t="s">
        <v>435</v>
      </c>
      <c r="H343" s="5" t="n">
        <f aca="false">IFERROR(INDEX(Ksat_Lookup!$B$9:$B$18,MATCH(F343,Ksat_Lookup!$A$9:$A$18,0)),"")</f>
        <v>-15.2</v>
      </c>
      <c r="I343" s="6" t="n">
        <f aca="false">IF(H343="","",10^H343*Ksat_Lookup!$B$5)</f>
        <v>6.18969154935071E-009</v>
      </c>
      <c r="J343" s="6" t="n">
        <f aca="false">IF(I343="","",I343*Ksat_Lookup!$B$6)</f>
        <v>0.000534789349863901</v>
      </c>
      <c r="K343" s="4" t="s">
        <v>25</v>
      </c>
      <c r="L343" s="6" t="n">
        <f aca="false">10^INDEX(Ksat_Lookup!$B$9:$B$18,MATCH(K343,Ksat_Lookup!$A$9:$A$18,0))*Ksat_Lookup!$B$5*Ksat_Lookup!$B$6</f>
        <v>0.0847584</v>
      </c>
    </row>
    <row r="344" customFormat="false" ht="15" hidden="false" customHeight="false" outlineLevel="0" collapsed="false">
      <c r="A344" s="3" t="n">
        <v>343</v>
      </c>
      <c r="B344" s="3" t="s">
        <v>436</v>
      </c>
      <c r="C344" s="3" t="s">
        <v>19</v>
      </c>
      <c r="D344" s="3" t="s">
        <v>41</v>
      </c>
      <c r="E344" s="3" t="s">
        <v>20</v>
      </c>
      <c r="F344" s="4" t="s">
        <v>22</v>
      </c>
      <c r="G344" s="4" t="s">
        <v>23</v>
      </c>
      <c r="H344" s="5" t="n">
        <f aca="false">IFERROR(INDEX(Ksat_Lookup!$B$9:$B$18,MATCH(F344,Ksat_Lookup!$A$9:$A$18,0)),"")</f>
        <v>-15.2</v>
      </c>
      <c r="I344" s="6" t="n">
        <f aca="false">IF(H344="","",10^H344*Ksat_Lookup!$B$5)</f>
        <v>6.18969154935071E-009</v>
      </c>
      <c r="J344" s="6" t="n">
        <f aca="false">IF(I344="","",I344*Ksat_Lookup!$B$6)</f>
        <v>0.000534789349863901</v>
      </c>
      <c r="K344" s="4"/>
      <c r="L344" s="6"/>
    </row>
    <row r="345" customFormat="false" ht="15" hidden="false" customHeight="false" outlineLevel="0" collapsed="false">
      <c r="A345" s="3" t="n">
        <v>344</v>
      </c>
      <c r="B345" s="3" t="s">
        <v>437</v>
      </c>
      <c r="C345" s="3" t="s">
        <v>13</v>
      </c>
      <c r="D345" s="3" t="s">
        <v>418</v>
      </c>
      <c r="E345" s="3" t="s">
        <v>418</v>
      </c>
      <c r="F345" s="4" t="s">
        <v>15</v>
      </c>
      <c r="G345" s="4" t="s">
        <v>15</v>
      </c>
      <c r="H345" s="5" t="n">
        <f aca="false">IFERROR(INDEX(Ksat_Lookup!$B$9:$B$18,MATCH(F345,Ksat_Lookup!$A$9:$A$18,0)),"")</f>
        <v>-12.5</v>
      </c>
      <c r="I345" s="6" t="n">
        <f aca="false">IF(H345="","",10^H345*Ksat_Lookup!$B$5)</f>
        <v>3.10219438462518E-006</v>
      </c>
      <c r="J345" s="6" t="n">
        <f aca="false">IF(I345="","",I345*Ksat_Lookup!$B$6)</f>
        <v>0.268029594831616</v>
      </c>
      <c r="K345" s="4"/>
      <c r="L345" s="6"/>
    </row>
    <row r="346" customFormat="false" ht="15" hidden="false" customHeight="false" outlineLevel="0" collapsed="false">
      <c r="A346" s="3" t="n">
        <v>345</v>
      </c>
      <c r="B346" s="3" t="s">
        <v>438</v>
      </c>
      <c r="C346" s="3" t="s">
        <v>19</v>
      </c>
      <c r="D346" s="3" t="s">
        <v>439</v>
      </c>
      <c r="E346" s="3" t="s">
        <v>439</v>
      </c>
      <c r="F346" s="4" t="s">
        <v>22</v>
      </c>
      <c r="G346" s="4" t="s">
        <v>23</v>
      </c>
      <c r="H346" s="5" t="n">
        <f aca="false">IFERROR(INDEX(Ksat_Lookup!$B$9:$B$18,MATCH(F346,Ksat_Lookup!$A$9:$A$18,0)),"")</f>
        <v>-15.2</v>
      </c>
      <c r="I346" s="6" t="n">
        <f aca="false">IF(H346="","",10^H346*Ksat_Lookup!$B$5)</f>
        <v>6.18969154935071E-009</v>
      </c>
      <c r="J346" s="6" t="n">
        <f aca="false">IF(I346="","",I346*Ksat_Lookup!$B$6)</f>
        <v>0.000534789349863901</v>
      </c>
      <c r="K346" s="4"/>
      <c r="L346" s="6"/>
    </row>
    <row r="347" customFormat="false" ht="15" hidden="false" customHeight="false" outlineLevel="0" collapsed="false">
      <c r="A347" s="3" t="n">
        <v>346</v>
      </c>
      <c r="B347" s="3" t="s">
        <v>440</v>
      </c>
      <c r="C347" s="3" t="s">
        <v>50</v>
      </c>
      <c r="D347" s="3" t="s">
        <v>33</v>
      </c>
      <c r="E347" s="3" t="s">
        <v>33</v>
      </c>
      <c r="F347" s="4" t="s">
        <v>51</v>
      </c>
      <c r="G347" s="4" t="s">
        <v>52</v>
      </c>
      <c r="H347" s="5" t="n">
        <f aca="false">IFERROR(INDEX(Ksat_Lookup!$B$9:$B$18,MATCH(F347,Ksat_Lookup!$A$9:$A$18,0)),"")</f>
        <v>-14.1</v>
      </c>
      <c r="I347" s="6" t="n">
        <f aca="false">IF(H347="","",10^H347*Ksat_Lookup!$B$5)</f>
        <v>7.79235998264521E-008</v>
      </c>
      <c r="J347" s="6" t="n">
        <f aca="false">IF(I347="","",I347*Ksat_Lookup!$B$6)</f>
        <v>0.00673259902500546</v>
      </c>
      <c r="K347" s="4"/>
      <c r="L347" s="6"/>
    </row>
    <row r="348" customFormat="false" ht="15" hidden="false" customHeight="false" outlineLevel="0" collapsed="false">
      <c r="A348" s="3" t="n">
        <v>347</v>
      </c>
      <c r="B348" s="3" t="s">
        <v>441</v>
      </c>
      <c r="C348" s="3" t="s">
        <v>423</v>
      </c>
      <c r="D348" s="3" t="s">
        <v>152</v>
      </c>
      <c r="E348" s="3" t="s">
        <v>152</v>
      </c>
      <c r="F348" s="4" t="s">
        <v>46</v>
      </c>
      <c r="G348" s="4" t="s">
        <v>47</v>
      </c>
      <c r="H348" s="5" t="str">
        <f aca="false">IFERROR(INDEX(Ksat_Lookup!$B$9:$B$18,MATCH(F348,Ksat_Lookup!$A$9:$A$18,0)),"")</f>
        <v/>
      </c>
      <c r="I348" s="6" t="str">
        <f aca="false">IF(H348="","",10^H348*Ksat_Lookup!$B$5)</f>
        <v/>
      </c>
      <c r="J348" s="6" t="str">
        <f aca="false">IF(I348="","",I348*Ksat_Lookup!$B$6)</f>
        <v/>
      </c>
      <c r="K348" s="4"/>
      <c r="L348" s="6"/>
    </row>
    <row r="349" customFormat="false" ht="15" hidden="false" customHeight="false" outlineLevel="0" collapsed="false">
      <c r="A349" s="3" t="n">
        <v>348</v>
      </c>
      <c r="B349" s="3" t="s">
        <v>442</v>
      </c>
      <c r="C349" s="3" t="s">
        <v>19</v>
      </c>
      <c r="D349" s="3" t="s">
        <v>20</v>
      </c>
      <c r="E349" s="3" t="s">
        <v>21</v>
      </c>
      <c r="F349" s="4" t="s">
        <v>22</v>
      </c>
      <c r="G349" s="4" t="s">
        <v>23</v>
      </c>
      <c r="H349" s="5" t="n">
        <f aca="false">IFERROR(INDEX(Ksat_Lookup!$B$9:$B$18,MATCH(F349,Ksat_Lookup!$A$9:$A$18,0)),"")</f>
        <v>-15.2</v>
      </c>
      <c r="I349" s="6" t="n">
        <f aca="false">IF(H349="","",10^H349*Ksat_Lookup!$B$5)</f>
        <v>6.18969154935071E-009</v>
      </c>
      <c r="J349" s="6" t="n">
        <f aca="false">IF(I349="","",I349*Ksat_Lookup!$B$6)</f>
        <v>0.000534789349863901</v>
      </c>
      <c r="K349" s="4"/>
      <c r="L349" s="6"/>
    </row>
    <row r="350" customFormat="false" ht="15" hidden="false" customHeight="false" outlineLevel="0" collapsed="false">
      <c r="A350" s="3" t="n">
        <v>349</v>
      </c>
      <c r="B350" s="3" t="s">
        <v>443</v>
      </c>
      <c r="C350" s="3" t="s">
        <v>50</v>
      </c>
      <c r="D350" s="3" t="s">
        <v>56</v>
      </c>
      <c r="E350" s="3" t="s">
        <v>202</v>
      </c>
      <c r="F350" s="4" t="s">
        <v>51</v>
      </c>
      <c r="G350" s="4" t="s">
        <v>52</v>
      </c>
      <c r="H350" s="5" t="n">
        <f aca="false">IFERROR(INDEX(Ksat_Lookup!$B$9:$B$18,MATCH(F350,Ksat_Lookup!$A$9:$A$18,0)),"")</f>
        <v>-14.1</v>
      </c>
      <c r="I350" s="6" t="n">
        <f aca="false">IF(H350="","",10^H350*Ksat_Lookup!$B$5)</f>
        <v>7.79235998264521E-008</v>
      </c>
      <c r="J350" s="6" t="n">
        <f aca="false">IF(I350="","",I350*Ksat_Lookup!$B$6)</f>
        <v>0.00673259902500546</v>
      </c>
      <c r="K350" s="4"/>
      <c r="L350" s="6"/>
    </row>
    <row r="351" customFormat="false" ht="15" hidden="false" customHeight="false" outlineLevel="0" collapsed="false">
      <c r="A351" s="3" t="n">
        <v>350</v>
      </c>
      <c r="B351" s="3" t="s">
        <v>444</v>
      </c>
      <c r="C351" s="3" t="s">
        <v>50</v>
      </c>
      <c r="D351" s="3" t="s">
        <v>56</v>
      </c>
      <c r="E351" s="3" t="s">
        <v>56</v>
      </c>
      <c r="F351" s="4" t="s">
        <v>51</v>
      </c>
      <c r="G351" s="4" t="s">
        <v>52</v>
      </c>
      <c r="H351" s="5" t="n">
        <f aca="false">IFERROR(INDEX(Ksat_Lookup!$B$9:$B$18,MATCH(F351,Ksat_Lookup!$A$9:$A$18,0)),"")</f>
        <v>-14.1</v>
      </c>
      <c r="I351" s="6" t="n">
        <f aca="false">IF(H351="","",10^H351*Ksat_Lookup!$B$5)</f>
        <v>7.79235998264521E-008</v>
      </c>
      <c r="J351" s="6" t="n">
        <f aca="false">IF(I351="","",I351*Ksat_Lookup!$B$6)</f>
        <v>0.00673259902500546</v>
      </c>
      <c r="K351" s="4"/>
      <c r="L351" s="6"/>
    </row>
    <row r="352" customFormat="false" ht="15" hidden="false" customHeight="false" outlineLevel="0" collapsed="false">
      <c r="A352" s="3" t="n">
        <v>351</v>
      </c>
      <c r="B352" s="3" t="s">
        <v>445</v>
      </c>
      <c r="C352" s="3" t="s">
        <v>19</v>
      </c>
      <c r="D352" s="3" t="s">
        <v>17</v>
      </c>
      <c r="E352" s="3" t="s">
        <v>39</v>
      </c>
      <c r="F352" s="4" t="s">
        <v>22</v>
      </c>
      <c r="G352" s="4" t="s">
        <v>23</v>
      </c>
      <c r="H352" s="5" t="n">
        <f aca="false">IFERROR(INDEX(Ksat_Lookup!$B$9:$B$18,MATCH(F352,Ksat_Lookup!$A$9:$A$18,0)),"")</f>
        <v>-15.2</v>
      </c>
      <c r="I352" s="6" t="n">
        <f aca="false">IF(H352="","",10^H352*Ksat_Lookup!$B$5)</f>
        <v>6.18969154935071E-009</v>
      </c>
      <c r="J352" s="6" t="n">
        <f aca="false">IF(I352="","",I352*Ksat_Lookup!$B$6)</f>
        <v>0.000534789349863901</v>
      </c>
      <c r="K352" s="4"/>
      <c r="L352" s="6"/>
    </row>
    <row r="353" customFormat="false" ht="15" hidden="false" customHeight="false" outlineLevel="0" collapsed="false">
      <c r="A353" s="3" t="n">
        <v>352</v>
      </c>
      <c r="B353" s="3" t="s">
        <v>446</v>
      </c>
      <c r="C353" s="3" t="s">
        <v>19</v>
      </c>
      <c r="D353" s="3" t="s">
        <v>39</v>
      </c>
      <c r="E353" s="3" t="s">
        <v>41</v>
      </c>
      <c r="F353" s="4" t="s">
        <v>22</v>
      </c>
      <c r="G353" s="4" t="s">
        <v>23</v>
      </c>
      <c r="H353" s="5" t="n">
        <f aca="false">IFERROR(INDEX(Ksat_Lookup!$B$9:$B$18,MATCH(F353,Ksat_Lookup!$A$9:$A$18,0)),"")</f>
        <v>-15.2</v>
      </c>
      <c r="I353" s="6" t="n">
        <f aca="false">IF(H353="","",10^H353*Ksat_Lookup!$B$5)</f>
        <v>6.18969154935071E-009</v>
      </c>
      <c r="J353" s="6" t="n">
        <f aca="false">IF(I353="","",I353*Ksat_Lookup!$B$6)</f>
        <v>0.000534789349863901</v>
      </c>
      <c r="K353" s="4"/>
      <c r="L353" s="6"/>
    </row>
    <row r="354" customFormat="false" ht="15" hidden="false" customHeight="false" outlineLevel="0" collapsed="false">
      <c r="A354" s="3" t="n">
        <v>353</v>
      </c>
      <c r="B354" s="3" t="s">
        <v>447</v>
      </c>
      <c r="C354" s="3" t="s">
        <v>19</v>
      </c>
      <c r="D354" s="3" t="s">
        <v>28</v>
      </c>
      <c r="E354" s="3" t="s">
        <v>200</v>
      </c>
      <c r="F354" s="4" t="s">
        <v>22</v>
      </c>
      <c r="G354" s="4" t="s">
        <v>23</v>
      </c>
      <c r="H354" s="5" t="n">
        <f aca="false">IFERROR(INDEX(Ksat_Lookup!$B$9:$B$18,MATCH(F354,Ksat_Lookup!$A$9:$A$18,0)),"")</f>
        <v>-15.2</v>
      </c>
      <c r="I354" s="6" t="n">
        <f aca="false">IF(H354="","",10^H354*Ksat_Lookup!$B$5)</f>
        <v>6.18969154935071E-009</v>
      </c>
      <c r="J354" s="6" t="n">
        <f aca="false">IF(I354="","",I354*Ksat_Lookup!$B$6)</f>
        <v>0.000534789349863901</v>
      </c>
      <c r="K354" s="4"/>
      <c r="L354" s="6"/>
    </row>
    <row r="355" customFormat="false" ht="15" hidden="false" customHeight="false" outlineLevel="0" collapsed="false">
      <c r="A355" s="3" t="n">
        <v>354</v>
      </c>
      <c r="B355" s="3" t="s">
        <v>448</v>
      </c>
      <c r="C355" s="3" t="s">
        <v>19</v>
      </c>
      <c r="D355" s="3" t="s">
        <v>14</v>
      </c>
      <c r="E355" s="3" t="s">
        <v>17</v>
      </c>
      <c r="F355" s="4" t="s">
        <v>25</v>
      </c>
      <c r="G355" s="4" t="s">
        <v>83</v>
      </c>
      <c r="H355" s="5" t="n">
        <f aca="false">IFERROR(INDEX(Ksat_Lookup!$B$9:$B$18,MATCH(F355,Ksat_Lookup!$A$9:$A$18,0)),"")</f>
        <v>-13</v>
      </c>
      <c r="I355" s="6" t="n">
        <f aca="false">IF(H355="","",10^H355*Ksat_Lookup!$B$5)</f>
        <v>9.81E-007</v>
      </c>
      <c r="J355" s="6" t="n">
        <f aca="false">IF(I355="","",I355*Ksat_Lookup!$B$6)</f>
        <v>0.0847584</v>
      </c>
      <c r="K355" s="4" t="s">
        <v>22</v>
      </c>
      <c r="L355" s="6" t="n">
        <f aca="false">10^INDEX(Ksat_Lookup!$B$9:$B$18,MATCH(K355,Ksat_Lookup!$A$9:$A$18,0))*Ksat_Lookup!$B$5*Ksat_Lookup!$B$6</f>
        <v>0.000534789349863901</v>
      </c>
    </row>
    <row r="356" customFormat="false" ht="15" hidden="false" customHeight="false" outlineLevel="0" collapsed="false">
      <c r="A356" s="3" t="n">
        <v>355</v>
      </c>
      <c r="B356" s="3" t="s">
        <v>449</v>
      </c>
      <c r="C356" s="3" t="s">
        <v>13</v>
      </c>
      <c r="D356" s="3" t="s">
        <v>202</v>
      </c>
      <c r="E356" s="3" t="s">
        <v>202</v>
      </c>
      <c r="F356" s="4" t="s">
        <v>15</v>
      </c>
      <c r="G356" s="4" t="s">
        <v>277</v>
      </c>
      <c r="H356" s="5" t="n">
        <f aca="false">IFERROR(INDEX(Ksat_Lookup!$B$9:$B$18,MATCH(F356,Ksat_Lookup!$A$9:$A$18,0)),"")</f>
        <v>-12.5</v>
      </c>
      <c r="I356" s="6" t="n">
        <f aca="false">IF(H356="","",10^H356*Ksat_Lookup!$B$5)</f>
        <v>3.10219438462518E-006</v>
      </c>
      <c r="J356" s="6" t="n">
        <f aca="false">IF(I356="","",I356*Ksat_Lookup!$B$6)</f>
        <v>0.268029594831616</v>
      </c>
      <c r="K356" s="4" t="s">
        <v>51</v>
      </c>
      <c r="L356" s="6" t="n">
        <f aca="false">10^INDEX(Ksat_Lookup!$B$9:$B$18,MATCH(K356,Ksat_Lookup!$A$9:$A$18,0))*Ksat_Lookup!$B$5*Ksat_Lookup!$B$6</f>
        <v>0.00673259902500546</v>
      </c>
    </row>
    <row r="357" customFormat="false" ht="15" hidden="false" customHeight="false" outlineLevel="0" collapsed="false">
      <c r="A357" s="3" t="n">
        <v>356</v>
      </c>
      <c r="B357" s="3" t="s">
        <v>450</v>
      </c>
      <c r="C357" s="3" t="s">
        <v>19</v>
      </c>
      <c r="D357" s="3" t="s">
        <v>14</v>
      </c>
      <c r="E357" s="3" t="s">
        <v>17</v>
      </c>
      <c r="F357" s="4" t="s">
        <v>25</v>
      </c>
      <c r="G357" s="4" t="s">
        <v>83</v>
      </c>
      <c r="H357" s="5" t="n">
        <f aca="false">IFERROR(INDEX(Ksat_Lookup!$B$9:$B$18,MATCH(F357,Ksat_Lookup!$A$9:$A$18,0)),"")</f>
        <v>-13</v>
      </c>
      <c r="I357" s="6" t="n">
        <f aca="false">IF(H357="","",10^H357*Ksat_Lookup!$B$5)</f>
        <v>9.81E-007</v>
      </c>
      <c r="J357" s="6" t="n">
        <f aca="false">IF(I357="","",I357*Ksat_Lookup!$B$6)</f>
        <v>0.0847584</v>
      </c>
      <c r="K357" s="4" t="s">
        <v>22</v>
      </c>
      <c r="L357" s="6" t="n">
        <f aca="false">10^INDEX(Ksat_Lookup!$B$9:$B$18,MATCH(K357,Ksat_Lookup!$A$9:$A$18,0))*Ksat_Lookup!$B$5*Ksat_Lookup!$B$6</f>
        <v>0.000534789349863901</v>
      </c>
    </row>
    <row r="358" customFormat="false" ht="15" hidden="false" customHeight="false" outlineLevel="0" collapsed="false">
      <c r="A358" s="3" t="n">
        <v>357</v>
      </c>
      <c r="B358" s="3" t="s">
        <v>451</v>
      </c>
      <c r="C358" s="3" t="s">
        <v>50</v>
      </c>
      <c r="D358" s="3" t="s">
        <v>137</v>
      </c>
      <c r="E358" s="3" t="s">
        <v>137</v>
      </c>
      <c r="F358" s="4" t="s">
        <v>51</v>
      </c>
      <c r="G358" s="4" t="s">
        <v>52</v>
      </c>
      <c r="H358" s="5" t="n">
        <f aca="false">IFERROR(INDEX(Ksat_Lookup!$B$9:$B$18,MATCH(F358,Ksat_Lookup!$A$9:$A$18,0)),"")</f>
        <v>-14.1</v>
      </c>
      <c r="I358" s="6" t="n">
        <f aca="false">IF(H358="","",10^H358*Ksat_Lookup!$B$5)</f>
        <v>7.79235998264521E-008</v>
      </c>
      <c r="J358" s="6" t="n">
        <f aca="false">IF(I358="","",I358*Ksat_Lookup!$B$6)</f>
        <v>0.00673259902500546</v>
      </c>
      <c r="K358" s="4"/>
      <c r="L358" s="6"/>
    </row>
    <row r="359" customFormat="false" ht="15" hidden="false" customHeight="false" outlineLevel="0" collapsed="false">
      <c r="A359" s="3" t="n">
        <v>358</v>
      </c>
      <c r="B359" s="3" t="s">
        <v>452</v>
      </c>
      <c r="C359" s="3" t="s">
        <v>19</v>
      </c>
      <c r="D359" s="3" t="s">
        <v>39</v>
      </c>
      <c r="E359" s="3" t="s">
        <v>108</v>
      </c>
      <c r="F359" s="4" t="s">
        <v>22</v>
      </c>
      <c r="G359" s="4" t="s">
        <v>23</v>
      </c>
      <c r="H359" s="5" t="n">
        <f aca="false">IFERROR(INDEX(Ksat_Lookup!$B$9:$B$18,MATCH(F359,Ksat_Lookup!$A$9:$A$18,0)),"")</f>
        <v>-15.2</v>
      </c>
      <c r="I359" s="6" t="n">
        <f aca="false">IF(H359="","",10^H359*Ksat_Lookup!$B$5)</f>
        <v>6.18969154935071E-009</v>
      </c>
      <c r="J359" s="6" t="n">
        <f aca="false">IF(I359="","",I359*Ksat_Lookup!$B$6)</f>
        <v>0.000534789349863901</v>
      </c>
      <c r="K359" s="4"/>
      <c r="L359" s="6"/>
    </row>
    <row r="360" customFormat="false" ht="15" hidden="false" customHeight="false" outlineLevel="0" collapsed="false">
      <c r="A360" s="3" t="n">
        <v>359</v>
      </c>
      <c r="B360" s="3" t="s">
        <v>453</v>
      </c>
      <c r="C360" s="3" t="s">
        <v>50</v>
      </c>
      <c r="D360" s="3" t="s">
        <v>454</v>
      </c>
      <c r="E360" s="3" t="s">
        <v>237</v>
      </c>
      <c r="F360" s="4" t="s">
        <v>51</v>
      </c>
      <c r="G360" s="4" t="s">
        <v>52</v>
      </c>
      <c r="H360" s="5" t="n">
        <f aca="false">IFERROR(INDEX(Ksat_Lookup!$B$9:$B$18,MATCH(F360,Ksat_Lookup!$A$9:$A$18,0)),"")</f>
        <v>-14.1</v>
      </c>
      <c r="I360" s="6" t="n">
        <f aca="false">IF(H360="","",10^H360*Ksat_Lookup!$B$5)</f>
        <v>7.79235998264521E-008</v>
      </c>
      <c r="J360" s="6" t="n">
        <f aca="false">IF(I360="","",I360*Ksat_Lookup!$B$6)</f>
        <v>0.00673259902500546</v>
      </c>
      <c r="K360" s="4"/>
      <c r="L360" s="6"/>
    </row>
    <row r="361" customFormat="false" ht="15" hidden="false" customHeight="false" outlineLevel="0" collapsed="false">
      <c r="A361" s="3" t="n">
        <v>360</v>
      </c>
      <c r="B361" s="3" t="s">
        <v>455</v>
      </c>
      <c r="C361" s="3" t="s">
        <v>19</v>
      </c>
      <c r="D361" s="3" t="s">
        <v>237</v>
      </c>
      <c r="E361" s="3" t="s">
        <v>237</v>
      </c>
      <c r="F361" s="4" t="s">
        <v>22</v>
      </c>
      <c r="G361" s="4" t="s">
        <v>23</v>
      </c>
      <c r="H361" s="5" t="n">
        <f aca="false">IFERROR(INDEX(Ksat_Lookup!$B$9:$B$18,MATCH(F361,Ksat_Lookup!$A$9:$A$18,0)),"")</f>
        <v>-15.2</v>
      </c>
      <c r="I361" s="6" t="n">
        <f aca="false">IF(H361="","",10^H361*Ksat_Lookup!$B$5)</f>
        <v>6.18969154935071E-009</v>
      </c>
      <c r="J361" s="6" t="n">
        <f aca="false">IF(I361="","",I361*Ksat_Lookup!$B$6)</f>
        <v>0.000534789349863901</v>
      </c>
      <c r="K361" s="4"/>
      <c r="L361" s="6"/>
    </row>
    <row r="362" customFormat="false" ht="15" hidden="false" customHeight="false" outlineLevel="0" collapsed="false">
      <c r="A362" s="3" t="n">
        <v>361</v>
      </c>
      <c r="B362" s="3" t="s">
        <v>456</v>
      </c>
      <c r="C362" s="3" t="s">
        <v>19</v>
      </c>
      <c r="D362" s="3" t="s">
        <v>271</v>
      </c>
      <c r="E362" s="3" t="s">
        <v>271</v>
      </c>
      <c r="F362" s="4" t="s">
        <v>25</v>
      </c>
      <c r="G362" s="4" t="s">
        <v>26</v>
      </c>
      <c r="H362" s="5" t="n">
        <f aca="false">IFERROR(INDEX(Ksat_Lookup!$B$9:$B$18,MATCH(F362,Ksat_Lookup!$A$9:$A$18,0)),"")</f>
        <v>-13</v>
      </c>
      <c r="I362" s="6" t="n">
        <f aca="false">IF(H362="","",10^H362*Ksat_Lookup!$B$5)</f>
        <v>9.81E-007</v>
      </c>
      <c r="J362" s="6" t="n">
        <f aca="false">IF(I362="","",I362*Ksat_Lookup!$B$6)</f>
        <v>0.0847584</v>
      </c>
      <c r="K362" s="4"/>
      <c r="L362" s="6"/>
    </row>
    <row r="363" customFormat="false" ht="15" hidden="false" customHeight="false" outlineLevel="0" collapsed="false">
      <c r="A363" s="3" t="n">
        <v>362</v>
      </c>
      <c r="B363" s="3" t="s">
        <v>457</v>
      </c>
      <c r="C363" s="3" t="s">
        <v>19</v>
      </c>
      <c r="D363" s="3" t="s">
        <v>72</v>
      </c>
      <c r="E363" s="3" t="s">
        <v>72</v>
      </c>
      <c r="F363" s="4" t="s">
        <v>22</v>
      </c>
      <c r="G363" s="4" t="s">
        <v>23</v>
      </c>
      <c r="H363" s="5" t="n">
        <f aca="false">IFERROR(INDEX(Ksat_Lookup!$B$9:$B$18,MATCH(F363,Ksat_Lookup!$A$9:$A$18,0)),"")</f>
        <v>-15.2</v>
      </c>
      <c r="I363" s="6" t="n">
        <f aca="false">IF(H363="","",10^H363*Ksat_Lookup!$B$5)</f>
        <v>6.18969154935071E-009</v>
      </c>
      <c r="J363" s="6" t="n">
        <f aca="false">IF(I363="","",I363*Ksat_Lookup!$B$6)</f>
        <v>0.000534789349863901</v>
      </c>
      <c r="K363" s="4"/>
      <c r="L363" s="6"/>
    </row>
    <row r="364" customFormat="false" ht="15" hidden="false" customHeight="false" outlineLevel="0" collapsed="false">
      <c r="A364" s="3" t="n">
        <v>363</v>
      </c>
      <c r="B364" s="3" t="s">
        <v>458</v>
      </c>
      <c r="C364" s="3" t="s">
        <v>19</v>
      </c>
      <c r="D364" s="3" t="s">
        <v>39</v>
      </c>
      <c r="E364" s="3" t="s">
        <v>39</v>
      </c>
      <c r="F364" s="4" t="s">
        <v>22</v>
      </c>
      <c r="G364" s="4" t="s">
        <v>23</v>
      </c>
      <c r="H364" s="5" t="n">
        <f aca="false">IFERROR(INDEX(Ksat_Lookup!$B$9:$B$18,MATCH(F364,Ksat_Lookup!$A$9:$A$18,0)),"")</f>
        <v>-15.2</v>
      </c>
      <c r="I364" s="6" t="n">
        <f aca="false">IF(H364="","",10^H364*Ksat_Lookup!$B$5)</f>
        <v>6.18969154935071E-009</v>
      </c>
      <c r="J364" s="6" t="n">
        <f aca="false">IF(I364="","",I364*Ksat_Lookup!$B$6)</f>
        <v>0.000534789349863901</v>
      </c>
      <c r="K364" s="4"/>
      <c r="L364" s="6"/>
    </row>
    <row r="365" customFormat="false" ht="15" hidden="false" customHeight="false" outlineLevel="0" collapsed="false">
      <c r="A365" s="3" t="n">
        <v>364</v>
      </c>
      <c r="B365" s="3" t="s">
        <v>459</v>
      </c>
      <c r="C365" s="3" t="s">
        <v>433</v>
      </c>
      <c r="D365" s="3" t="s">
        <v>414</v>
      </c>
      <c r="E365" s="3" t="s">
        <v>414</v>
      </c>
      <c r="F365" s="4" t="s">
        <v>46</v>
      </c>
      <c r="G365" s="4" t="s">
        <v>47</v>
      </c>
      <c r="H365" s="5" t="str">
        <f aca="false">IFERROR(INDEX(Ksat_Lookup!$B$9:$B$18,MATCH(F365,Ksat_Lookup!$A$9:$A$18,0)),"")</f>
        <v/>
      </c>
      <c r="I365" s="6" t="str">
        <f aca="false">IF(H365="","",10^H365*Ksat_Lookup!$B$5)</f>
        <v/>
      </c>
      <c r="J365" s="6" t="str">
        <f aca="false">IF(I365="","",I365*Ksat_Lookup!$B$6)</f>
        <v/>
      </c>
      <c r="K365" s="4"/>
      <c r="L365" s="6"/>
    </row>
    <row r="366" customFormat="false" ht="15" hidden="false" customHeight="false" outlineLevel="0" collapsed="false">
      <c r="A366" s="3" t="n">
        <v>365</v>
      </c>
      <c r="B366" s="3" t="s">
        <v>460</v>
      </c>
      <c r="C366" s="3" t="s">
        <v>19</v>
      </c>
      <c r="D366" s="3" t="s">
        <v>41</v>
      </c>
      <c r="E366" s="3" t="s">
        <v>41</v>
      </c>
      <c r="F366" s="4" t="s">
        <v>22</v>
      </c>
      <c r="G366" s="4" t="s">
        <v>23</v>
      </c>
      <c r="H366" s="5" t="n">
        <f aca="false">IFERROR(INDEX(Ksat_Lookup!$B$9:$B$18,MATCH(F366,Ksat_Lookup!$A$9:$A$18,0)),"")</f>
        <v>-15.2</v>
      </c>
      <c r="I366" s="6" t="n">
        <f aca="false">IF(H366="","",10^H366*Ksat_Lookup!$B$5)</f>
        <v>6.18969154935071E-009</v>
      </c>
      <c r="J366" s="6" t="n">
        <f aca="false">IF(I366="","",I366*Ksat_Lookup!$B$6)</f>
        <v>0.000534789349863901</v>
      </c>
      <c r="K366" s="4"/>
      <c r="L366" s="6"/>
    </row>
    <row r="367" customFormat="false" ht="15" hidden="false" customHeight="false" outlineLevel="0" collapsed="false">
      <c r="A367" s="3" t="n">
        <v>366</v>
      </c>
      <c r="B367" s="3" t="s">
        <v>461</v>
      </c>
      <c r="C367" s="3" t="s">
        <v>19</v>
      </c>
      <c r="D367" s="3" t="s">
        <v>17</v>
      </c>
      <c r="E367" s="3" t="s">
        <v>17</v>
      </c>
      <c r="F367" s="4" t="s">
        <v>22</v>
      </c>
      <c r="G367" s="4" t="s">
        <v>23</v>
      </c>
      <c r="H367" s="5" t="n">
        <f aca="false">IFERROR(INDEX(Ksat_Lookup!$B$9:$B$18,MATCH(F367,Ksat_Lookup!$A$9:$A$18,0)),"")</f>
        <v>-15.2</v>
      </c>
      <c r="I367" s="6" t="n">
        <f aca="false">IF(H367="","",10^H367*Ksat_Lookup!$B$5)</f>
        <v>6.18969154935071E-009</v>
      </c>
      <c r="J367" s="6" t="n">
        <f aca="false">IF(I367="","",I367*Ksat_Lookup!$B$6)</f>
        <v>0.000534789349863901</v>
      </c>
      <c r="K367" s="4"/>
      <c r="L367" s="6"/>
    </row>
    <row r="368" customFormat="false" ht="15" hidden="false" customHeight="false" outlineLevel="0" collapsed="false">
      <c r="A368" s="3" t="n">
        <v>367</v>
      </c>
      <c r="B368" s="3" t="s">
        <v>462</v>
      </c>
      <c r="C368" s="3" t="s">
        <v>50</v>
      </c>
      <c r="D368" s="3" t="s">
        <v>17</v>
      </c>
      <c r="E368" s="3" t="s">
        <v>17</v>
      </c>
      <c r="F368" s="4" t="s">
        <v>51</v>
      </c>
      <c r="G368" s="4" t="s">
        <v>52</v>
      </c>
      <c r="H368" s="5" t="n">
        <f aca="false">IFERROR(INDEX(Ksat_Lookup!$B$9:$B$18,MATCH(F368,Ksat_Lookup!$A$9:$A$18,0)),"")</f>
        <v>-14.1</v>
      </c>
      <c r="I368" s="6" t="n">
        <f aca="false">IF(H368="","",10^H368*Ksat_Lookup!$B$5)</f>
        <v>7.79235998264521E-008</v>
      </c>
      <c r="J368" s="6" t="n">
        <f aca="false">IF(I368="","",I368*Ksat_Lookup!$B$6)</f>
        <v>0.00673259902500546</v>
      </c>
      <c r="K368" s="4"/>
      <c r="L368" s="6"/>
    </row>
    <row r="369" customFormat="false" ht="15" hidden="false" customHeight="false" outlineLevel="0" collapsed="false">
      <c r="A369" s="3" t="n">
        <v>368</v>
      </c>
      <c r="B369" s="3" t="s">
        <v>463</v>
      </c>
      <c r="C369" s="3" t="s">
        <v>19</v>
      </c>
      <c r="D369" s="3" t="s">
        <v>14</v>
      </c>
      <c r="E369" s="3" t="s">
        <v>14</v>
      </c>
      <c r="F369" s="4" t="s">
        <v>25</v>
      </c>
      <c r="G369" s="4" t="s">
        <v>26</v>
      </c>
      <c r="H369" s="5" t="n">
        <f aca="false">IFERROR(INDEX(Ksat_Lookup!$B$9:$B$18,MATCH(F369,Ksat_Lookup!$A$9:$A$18,0)),"")</f>
        <v>-13</v>
      </c>
      <c r="I369" s="6" t="n">
        <f aca="false">IF(H369="","",10^H369*Ksat_Lookup!$B$5)</f>
        <v>9.81E-007</v>
      </c>
      <c r="J369" s="6" t="n">
        <f aca="false">IF(I369="","",I369*Ksat_Lookup!$B$6)</f>
        <v>0.0847584</v>
      </c>
      <c r="K369" s="4"/>
      <c r="L369" s="6"/>
    </row>
    <row r="370" customFormat="false" ht="15" hidden="false" customHeight="false" outlineLevel="0" collapsed="false">
      <c r="A370" s="3" t="n">
        <v>369</v>
      </c>
      <c r="B370" s="3" t="s">
        <v>464</v>
      </c>
      <c r="C370" s="3" t="s">
        <v>19</v>
      </c>
      <c r="D370" s="3" t="s">
        <v>39</v>
      </c>
      <c r="E370" s="3" t="s">
        <v>41</v>
      </c>
      <c r="F370" s="4" t="s">
        <v>22</v>
      </c>
      <c r="G370" s="4" t="s">
        <v>23</v>
      </c>
      <c r="H370" s="5" t="n">
        <f aca="false">IFERROR(INDEX(Ksat_Lookup!$B$9:$B$18,MATCH(F370,Ksat_Lookup!$A$9:$A$18,0)),"")</f>
        <v>-15.2</v>
      </c>
      <c r="I370" s="6" t="n">
        <f aca="false">IF(H370="","",10^H370*Ksat_Lookup!$B$5)</f>
        <v>6.18969154935071E-009</v>
      </c>
      <c r="J370" s="6" t="n">
        <f aca="false">IF(I370="","",I370*Ksat_Lookup!$B$6)</f>
        <v>0.000534789349863901</v>
      </c>
      <c r="K370" s="4"/>
      <c r="L370" s="6"/>
    </row>
    <row r="371" customFormat="false" ht="15" hidden="false" customHeight="false" outlineLevel="0" collapsed="false">
      <c r="A371" s="3" t="n">
        <v>370</v>
      </c>
      <c r="B371" s="3" t="s">
        <v>465</v>
      </c>
      <c r="C371" s="3" t="s">
        <v>19</v>
      </c>
      <c r="D371" s="3" t="s">
        <v>33</v>
      </c>
      <c r="E371" s="3" t="s">
        <v>56</v>
      </c>
      <c r="F371" s="4" t="s">
        <v>22</v>
      </c>
      <c r="G371" s="4" t="s">
        <v>23</v>
      </c>
      <c r="H371" s="5" t="n">
        <f aca="false">IFERROR(INDEX(Ksat_Lookup!$B$9:$B$18,MATCH(F371,Ksat_Lookup!$A$9:$A$18,0)),"")</f>
        <v>-15.2</v>
      </c>
      <c r="I371" s="6" t="n">
        <f aca="false">IF(H371="","",10^H371*Ksat_Lookup!$B$5)</f>
        <v>6.18969154935071E-009</v>
      </c>
      <c r="J371" s="6" t="n">
        <f aca="false">IF(I371="","",I371*Ksat_Lookup!$B$6)</f>
        <v>0.000534789349863901</v>
      </c>
      <c r="K371" s="4"/>
      <c r="L371" s="6"/>
    </row>
    <row r="372" customFormat="false" ht="15" hidden="false" customHeight="false" outlineLevel="0" collapsed="false">
      <c r="A372" s="3" t="n">
        <v>371</v>
      </c>
      <c r="B372" s="3" t="s">
        <v>466</v>
      </c>
      <c r="C372" s="3"/>
      <c r="D372" s="3"/>
      <c r="E372" s="3"/>
      <c r="F372" s="4" t="s">
        <v>46</v>
      </c>
      <c r="G372" s="4" t="s">
        <v>47</v>
      </c>
      <c r="H372" s="5" t="str">
        <f aca="false">IFERROR(INDEX(Ksat_Lookup!$B$9:$B$18,MATCH(F372,Ksat_Lookup!$A$9:$A$18,0)),"")</f>
        <v/>
      </c>
      <c r="I372" s="6" t="str">
        <f aca="false">IF(H372="","",10^H372*Ksat_Lookup!$B$5)</f>
        <v/>
      </c>
      <c r="J372" s="6" t="str">
        <f aca="false">IF(I372="","",I372*Ksat_Lookup!$B$6)</f>
        <v/>
      </c>
      <c r="K372" s="4"/>
      <c r="L372" s="6"/>
    </row>
    <row r="373" customFormat="false" ht="15" hidden="false" customHeight="false" outlineLevel="0" collapsed="false">
      <c r="A373" s="3" t="n">
        <v>372</v>
      </c>
      <c r="B373" s="3" t="s">
        <v>467</v>
      </c>
      <c r="C373" s="3" t="s">
        <v>19</v>
      </c>
      <c r="D373" s="3" t="s">
        <v>20</v>
      </c>
      <c r="E373" s="3" t="s">
        <v>468</v>
      </c>
      <c r="F373" s="4" t="s">
        <v>22</v>
      </c>
      <c r="G373" s="4" t="s">
        <v>23</v>
      </c>
      <c r="H373" s="5" t="n">
        <f aca="false">IFERROR(INDEX(Ksat_Lookup!$B$9:$B$18,MATCH(F373,Ksat_Lookup!$A$9:$A$18,0)),"")</f>
        <v>-15.2</v>
      </c>
      <c r="I373" s="6" t="n">
        <f aca="false">IF(H373="","",10^H373*Ksat_Lookup!$B$5)</f>
        <v>6.18969154935071E-009</v>
      </c>
      <c r="J373" s="6" t="n">
        <f aca="false">IF(I373="","",I373*Ksat_Lookup!$B$6)</f>
        <v>0.000534789349863901</v>
      </c>
      <c r="K373" s="4"/>
      <c r="L373" s="6"/>
    </row>
    <row r="374" customFormat="false" ht="15" hidden="false" customHeight="false" outlineLevel="0" collapsed="false">
      <c r="A374" s="3" t="n">
        <v>373</v>
      </c>
      <c r="B374" s="3" t="s">
        <v>469</v>
      </c>
      <c r="C374" s="3" t="s">
        <v>19</v>
      </c>
      <c r="D374" s="3" t="s">
        <v>17</v>
      </c>
      <c r="E374" s="3" t="s">
        <v>39</v>
      </c>
      <c r="F374" s="4" t="s">
        <v>22</v>
      </c>
      <c r="G374" s="4" t="s">
        <v>23</v>
      </c>
      <c r="H374" s="5" t="n">
        <f aca="false">IFERROR(INDEX(Ksat_Lookup!$B$9:$B$18,MATCH(F374,Ksat_Lookup!$A$9:$A$18,0)),"")</f>
        <v>-15.2</v>
      </c>
      <c r="I374" s="6" t="n">
        <f aca="false">IF(H374="","",10^H374*Ksat_Lookup!$B$5)</f>
        <v>6.18969154935071E-009</v>
      </c>
      <c r="J374" s="6" t="n">
        <f aca="false">IF(I374="","",I374*Ksat_Lookup!$B$6)</f>
        <v>0.000534789349863901</v>
      </c>
      <c r="K374" s="4"/>
      <c r="L374" s="6"/>
    </row>
    <row r="375" customFormat="false" ht="15" hidden="false" customHeight="false" outlineLevel="0" collapsed="false">
      <c r="A375" s="3" t="n">
        <v>374</v>
      </c>
      <c r="B375" s="3" t="s">
        <v>470</v>
      </c>
      <c r="C375" s="3" t="s">
        <v>19</v>
      </c>
      <c r="D375" s="3" t="s">
        <v>454</v>
      </c>
      <c r="E375" s="3" t="s">
        <v>237</v>
      </c>
      <c r="F375" s="4" t="s">
        <v>22</v>
      </c>
      <c r="G375" s="4" t="s">
        <v>23</v>
      </c>
      <c r="H375" s="5" t="n">
        <f aca="false">IFERROR(INDEX(Ksat_Lookup!$B$9:$B$18,MATCH(F375,Ksat_Lookup!$A$9:$A$18,0)),"")</f>
        <v>-15.2</v>
      </c>
      <c r="I375" s="6" t="n">
        <f aca="false">IF(H375="","",10^H375*Ksat_Lookup!$B$5)</f>
        <v>6.18969154935071E-009</v>
      </c>
      <c r="J375" s="6" t="n">
        <f aca="false">IF(I375="","",I375*Ksat_Lookup!$B$6)</f>
        <v>0.000534789349863901</v>
      </c>
      <c r="K375" s="4"/>
      <c r="L375" s="6"/>
    </row>
    <row r="376" customFormat="false" ht="15" hidden="false" customHeight="false" outlineLevel="0" collapsed="false">
      <c r="A376" s="3" t="n">
        <v>375</v>
      </c>
      <c r="B376" s="3" t="s">
        <v>471</v>
      </c>
      <c r="C376" s="3" t="s">
        <v>19</v>
      </c>
      <c r="D376" s="3" t="s">
        <v>108</v>
      </c>
      <c r="E376" s="3" t="s">
        <v>108</v>
      </c>
      <c r="F376" s="4" t="s">
        <v>22</v>
      </c>
      <c r="G376" s="4" t="s">
        <v>23</v>
      </c>
      <c r="H376" s="5" t="n">
        <f aca="false">IFERROR(INDEX(Ksat_Lookup!$B$9:$B$18,MATCH(F376,Ksat_Lookup!$A$9:$A$18,0)),"")</f>
        <v>-15.2</v>
      </c>
      <c r="I376" s="6" t="n">
        <f aca="false">IF(H376="","",10^H376*Ksat_Lookup!$B$5)</f>
        <v>6.18969154935071E-009</v>
      </c>
      <c r="J376" s="6" t="n">
        <f aca="false">IF(I376="","",I376*Ksat_Lookup!$B$6)</f>
        <v>0.000534789349863901</v>
      </c>
      <c r="K376" s="4"/>
      <c r="L376" s="6"/>
    </row>
    <row r="377" customFormat="false" ht="15" hidden="false" customHeight="false" outlineLevel="0" collapsed="false">
      <c r="A377" s="3" t="n">
        <v>376</v>
      </c>
      <c r="B377" s="3" t="s">
        <v>472</v>
      </c>
      <c r="C377" s="3" t="s">
        <v>19</v>
      </c>
      <c r="D377" s="3" t="s">
        <v>39</v>
      </c>
      <c r="E377" s="3" t="s">
        <v>20</v>
      </c>
      <c r="F377" s="4" t="s">
        <v>22</v>
      </c>
      <c r="G377" s="4" t="s">
        <v>23</v>
      </c>
      <c r="H377" s="5" t="n">
        <f aca="false">IFERROR(INDEX(Ksat_Lookup!$B$9:$B$18,MATCH(F377,Ksat_Lookup!$A$9:$A$18,0)),"")</f>
        <v>-15.2</v>
      </c>
      <c r="I377" s="6" t="n">
        <f aca="false">IF(H377="","",10^H377*Ksat_Lookup!$B$5)</f>
        <v>6.18969154935071E-009</v>
      </c>
      <c r="J377" s="6" t="n">
        <f aca="false">IF(I377="","",I377*Ksat_Lookup!$B$6)</f>
        <v>0.000534789349863901</v>
      </c>
      <c r="K377" s="4"/>
      <c r="L377" s="6"/>
    </row>
    <row r="378" customFormat="false" ht="15" hidden="false" customHeight="false" outlineLevel="0" collapsed="false">
      <c r="A378" s="3" t="n">
        <v>377</v>
      </c>
      <c r="B378" s="3" t="s">
        <v>473</v>
      </c>
      <c r="C378" s="3" t="s">
        <v>19</v>
      </c>
      <c r="D378" s="3" t="s">
        <v>21</v>
      </c>
      <c r="E378" s="3" t="s">
        <v>468</v>
      </c>
      <c r="F378" s="4" t="s">
        <v>22</v>
      </c>
      <c r="G378" s="4" t="s">
        <v>23</v>
      </c>
      <c r="H378" s="5" t="n">
        <f aca="false">IFERROR(INDEX(Ksat_Lookup!$B$9:$B$18,MATCH(F378,Ksat_Lookup!$A$9:$A$18,0)),"")</f>
        <v>-15.2</v>
      </c>
      <c r="I378" s="6" t="n">
        <f aca="false">IF(H378="","",10^H378*Ksat_Lookup!$B$5)</f>
        <v>6.18969154935071E-009</v>
      </c>
      <c r="J378" s="6" t="n">
        <f aca="false">IF(I378="","",I378*Ksat_Lookup!$B$6)</f>
        <v>0.000534789349863901</v>
      </c>
      <c r="K378" s="4"/>
      <c r="L378" s="6"/>
    </row>
    <row r="379" customFormat="false" ht="15" hidden="false" customHeight="false" outlineLevel="0" collapsed="false">
      <c r="A379" s="3" t="n">
        <v>378</v>
      </c>
      <c r="B379" s="3" t="s">
        <v>474</v>
      </c>
      <c r="C379" s="3" t="s">
        <v>19</v>
      </c>
      <c r="D379" s="3" t="s">
        <v>28</v>
      </c>
      <c r="E379" s="3" t="s">
        <v>108</v>
      </c>
      <c r="F379" s="4" t="s">
        <v>22</v>
      </c>
      <c r="G379" s="4" t="s">
        <v>23</v>
      </c>
      <c r="H379" s="5" t="n">
        <f aca="false">IFERROR(INDEX(Ksat_Lookup!$B$9:$B$18,MATCH(F379,Ksat_Lookup!$A$9:$A$18,0)),"")</f>
        <v>-15.2</v>
      </c>
      <c r="I379" s="6" t="n">
        <f aca="false">IF(H379="","",10^H379*Ksat_Lookup!$B$5)</f>
        <v>6.18969154935071E-009</v>
      </c>
      <c r="J379" s="6" t="n">
        <f aca="false">IF(I379="","",I379*Ksat_Lookup!$B$6)</f>
        <v>0.000534789349863901</v>
      </c>
      <c r="K379" s="4"/>
      <c r="L379" s="6"/>
    </row>
    <row r="380" customFormat="false" ht="15" hidden="false" customHeight="false" outlineLevel="0" collapsed="false">
      <c r="A380" s="3" t="n">
        <v>379</v>
      </c>
      <c r="B380" s="3" t="s">
        <v>475</v>
      </c>
      <c r="C380" s="3" t="s">
        <v>19</v>
      </c>
      <c r="D380" s="3" t="s">
        <v>56</v>
      </c>
      <c r="E380" s="3" t="s">
        <v>454</v>
      </c>
      <c r="F380" s="4" t="s">
        <v>22</v>
      </c>
      <c r="G380" s="4" t="s">
        <v>23</v>
      </c>
      <c r="H380" s="5" t="n">
        <f aca="false">IFERROR(INDEX(Ksat_Lookup!$B$9:$B$18,MATCH(F380,Ksat_Lookup!$A$9:$A$18,0)),"")</f>
        <v>-15.2</v>
      </c>
      <c r="I380" s="6" t="n">
        <f aca="false">IF(H380="","",10^H380*Ksat_Lookup!$B$5)</f>
        <v>6.18969154935071E-009</v>
      </c>
      <c r="J380" s="6" t="n">
        <f aca="false">IF(I380="","",I380*Ksat_Lookup!$B$6)</f>
        <v>0.000534789349863901</v>
      </c>
      <c r="K380" s="4"/>
      <c r="L380" s="6"/>
    </row>
    <row r="381" customFormat="false" ht="15" hidden="false" customHeight="false" outlineLevel="0" collapsed="false">
      <c r="A381" s="3" t="n">
        <v>380</v>
      </c>
      <c r="B381" s="3" t="s">
        <v>476</v>
      </c>
      <c r="C381" s="3" t="s">
        <v>50</v>
      </c>
      <c r="D381" s="3" t="s">
        <v>21</v>
      </c>
      <c r="E381" s="3" t="s">
        <v>21</v>
      </c>
      <c r="F381" s="4" t="s">
        <v>51</v>
      </c>
      <c r="G381" s="4" t="s">
        <v>52</v>
      </c>
      <c r="H381" s="5" t="n">
        <f aca="false">IFERROR(INDEX(Ksat_Lookup!$B$9:$B$18,MATCH(F381,Ksat_Lookup!$A$9:$A$18,0)),"")</f>
        <v>-14.1</v>
      </c>
      <c r="I381" s="6" t="n">
        <f aca="false">IF(H381="","",10^H381*Ksat_Lookup!$B$5)</f>
        <v>7.79235998264521E-008</v>
      </c>
      <c r="J381" s="6" t="n">
        <f aca="false">IF(I381="","",I381*Ksat_Lookup!$B$6)</f>
        <v>0.00673259902500546</v>
      </c>
      <c r="K381" s="4"/>
      <c r="L381" s="6"/>
    </row>
    <row r="382" customFormat="false" ht="15" hidden="false" customHeight="false" outlineLevel="0" collapsed="false">
      <c r="A382" s="3" t="n">
        <v>381</v>
      </c>
      <c r="B382" s="3" t="s">
        <v>477</v>
      </c>
      <c r="C382" s="3" t="s">
        <v>19</v>
      </c>
      <c r="D382" s="3" t="s">
        <v>14</v>
      </c>
      <c r="E382" s="3" t="s">
        <v>43</v>
      </c>
      <c r="F382" s="4" t="s">
        <v>25</v>
      </c>
      <c r="G382" s="4" t="s">
        <v>83</v>
      </c>
      <c r="H382" s="5" t="n">
        <f aca="false">IFERROR(INDEX(Ksat_Lookup!$B$9:$B$18,MATCH(F382,Ksat_Lookup!$A$9:$A$18,0)),"")</f>
        <v>-13</v>
      </c>
      <c r="I382" s="6" t="n">
        <f aca="false">IF(H382="","",10^H382*Ksat_Lookup!$B$5)</f>
        <v>9.81E-007</v>
      </c>
      <c r="J382" s="6" t="n">
        <f aca="false">IF(I382="","",I382*Ksat_Lookup!$B$6)</f>
        <v>0.0847584</v>
      </c>
      <c r="K382" s="4" t="s">
        <v>22</v>
      </c>
      <c r="L382" s="6" t="n">
        <f aca="false">10^INDEX(Ksat_Lookup!$B$9:$B$18,MATCH(K382,Ksat_Lookup!$A$9:$A$18,0))*Ksat_Lookup!$B$5*Ksat_Lookup!$B$6</f>
        <v>0.000534789349863901</v>
      </c>
    </row>
    <row r="383" customFormat="false" ht="15" hidden="false" customHeight="false" outlineLevel="0" collapsed="false">
      <c r="A383" s="3" t="n">
        <v>382</v>
      </c>
      <c r="B383" s="3" t="s">
        <v>478</v>
      </c>
      <c r="C383" s="3" t="s">
        <v>479</v>
      </c>
      <c r="D383" s="3" t="s">
        <v>423</v>
      </c>
      <c r="E383" s="3" t="s">
        <v>423</v>
      </c>
      <c r="F383" s="4" t="s">
        <v>46</v>
      </c>
      <c r="G383" s="4" t="s">
        <v>47</v>
      </c>
      <c r="H383" s="5" t="str">
        <f aca="false">IFERROR(INDEX(Ksat_Lookup!$B$9:$B$18,MATCH(F383,Ksat_Lookup!$A$9:$A$18,0)),"")</f>
        <v/>
      </c>
      <c r="I383" s="6" t="str">
        <f aca="false">IF(H383="","",10^H383*Ksat_Lookup!$B$5)</f>
        <v/>
      </c>
      <c r="J383" s="6" t="str">
        <f aca="false">IF(I383="","",I383*Ksat_Lookup!$B$6)</f>
        <v/>
      </c>
      <c r="K383" s="4"/>
      <c r="L383" s="6"/>
    </row>
    <row r="384" customFormat="false" ht="15" hidden="false" customHeight="false" outlineLevel="0" collapsed="false">
      <c r="A384" s="3" t="n">
        <v>383</v>
      </c>
      <c r="B384" s="3" t="s">
        <v>480</v>
      </c>
      <c r="C384" s="3" t="s">
        <v>19</v>
      </c>
      <c r="D384" s="3" t="s">
        <v>28</v>
      </c>
      <c r="E384" s="3" t="s">
        <v>108</v>
      </c>
      <c r="F384" s="4" t="s">
        <v>22</v>
      </c>
      <c r="G384" s="4" t="s">
        <v>23</v>
      </c>
      <c r="H384" s="5" t="n">
        <f aca="false">IFERROR(INDEX(Ksat_Lookup!$B$9:$B$18,MATCH(F384,Ksat_Lookup!$A$9:$A$18,0)),"")</f>
        <v>-15.2</v>
      </c>
      <c r="I384" s="6" t="n">
        <f aca="false">IF(H384="","",10^H384*Ksat_Lookup!$B$5)</f>
        <v>6.18969154935071E-009</v>
      </c>
      <c r="J384" s="6" t="n">
        <f aca="false">IF(I384="","",I384*Ksat_Lookup!$B$6)</f>
        <v>0.000534789349863901</v>
      </c>
      <c r="K384" s="4"/>
      <c r="L38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2" t="s">
        <v>481</v>
      </c>
    </row>
    <row r="2" customFormat="false" ht="15" hidden="false" customHeight="false" outlineLevel="0" collapsed="false">
      <c r="A2" s="4" t="s">
        <v>482</v>
      </c>
      <c r="B2" s="7" t="n">
        <v>1000</v>
      </c>
    </row>
    <row r="3" customFormat="false" ht="15" hidden="false" customHeight="false" outlineLevel="0" collapsed="false">
      <c r="A3" s="4" t="s">
        <v>483</v>
      </c>
      <c r="B3" s="7" t="n">
        <v>9.81</v>
      </c>
    </row>
    <row r="4" customFormat="false" ht="15" hidden="false" customHeight="false" outlineLevel="0" collapsed="false">
      <c r="A4" s="4" t="s">
        <v>484</v>
      </c>
      <c r="B4" s="7" t="n">
        <v>0.001</v>
      </c>
    </row>
    <row r="5" customFormat="false" ht="15" hidden="false" customHeight="false" outlineLevel="0" collapsed="false">
      <c r="A5" s="4" t="s">
        <v>485</v>
      </c>
      <c r="B5" s="6" t="n">
        <f aca="false">B2*B3/B4</f>
        <v>9810000</v>
      </c>
    </row>
    <row r="6" customFormat="false" ht="15" hidden="false" customHeight="false" outlineLevel="0" collapsed="false">
      <c r="A6" s="4" t="s">
        <v>486</v>
      </c>
      <c r="B6" s="7" t="n">
        <v>86400</v>
      </c>
    </row>
    <row r="8" customFormat="false" ht="15" hidden="false" customHeight="false" outlineLevel="0" collapsed="false">
      <c r="A8" s="8" t="s">
        <v>5</v>
      </c>
      <c r="B8" s="8" t="s">
        <v>487</v>
      </c>
      <c r="C8" s="8" t="s">
        <v>488</v>
      </c>
      <c r="D8" s="8" t="s">
        <v>8</v>
      </c>
      <c r="E8" s="8" t="s">
        <v>9</v>
      </c>
      <c r="F8" s="8" t="s">
        <v>489</v>
      </c>
    </row>
    <row r="9" customFormat="false" ht="15" hidden="false" customHeight="false" outlineLevel="0" collapsed="false">
      <c r="A9" s="4" t="s">
        <v>25</v>
      </c>
      <c r="B9" s="9" t="n">
        <v>-13</v>
      </c>
      <c r="C9" s="9" t="n">
        <v>2</v>
      </c>
      <c r="D9" s="6" t="n">
        <f aca="false">10^B9*$B$5</f>
        <v>9.81E-007</v>
      </c>
      <c r="E9" s="6" t="n">
        <f aca="false">D9*$B$6</f>
        <v>0.0847584</v>
      </c>
      <c r="F9" s="4" t="s">
        <v>490</v>
      </c>
    </row>
    <row r="10" customFormat="false" ht="15" hidden="false" customHeight="false" outlineLevel="0" collapsed="false">
      <c r="A10" s="4" t="s">
        <v>22</v>
      </c>
      <c r="B10" s="9" t="n">
        <v>-15.2</v>
      </c>
      <c r="C10" s="9" t="n">
        <v>2.5</v>
      </c>
      <c r="D10" s="6" t="n">
        <f aca="false">10^B10*$B$5</f>
        <v>6.18969154935071E-009</v>
      </c>
      <c r="E10" s="6" t="n">
        <f aca="false">D10*$B$6</f>
        <v>0.000534789349863901</v>
      </c>
      <c r="F10" s="4" t="s">
        <v>490</v>
      </c>
    </row>
    <row r="11" customFormat="false" ht="15" hidden="false" customHeight="false" outlineLevel="0" collapsed="false">
      <c r="A11" s="4" t="s">
        <v>15</v>
      </c>
      <c r="B11" s="9" t="n">
        <v>-12.5</v>
      </c>
      <c r="C11" s="9" t="n">
        <v>1.8</v>
      </c>
      <c r="D11" s="6" t="n">
        <f aca="false">10^B11*$B$5</f>
        <v>3.10219438462518E-006</v>
      </c>
      <c r="E11" s="6" t="n">
        <f aca="false">D11*$B$6</f>
        <v>0.268029594831616</v>
      </c>
      <c r="F11" s="4" t="s">
        <v>490</v>
      </c>
    </row>
    <row r="12" customFormat="false" ht="15" hidden="false" customHeight="false" outlineLevel="0" collapsed="false">
      <c r="A12" s="4" t="s">
        <v>51</v>
      </c>
      <c r="B12" s="9" t="n">
        <v>-14.1</v>
      </c>
      <c r="C12" s="9" t="n">
        <v>1.5</v>
      </c>
      <c r="D12" s="6" t="n">
        <f aca="false">10^B12*$B$5</f>
        <v>7.79235998264521E-008</v>
      </c>
      <c r="E12" s="6" t="n">
        <f aca="false">D12*$B$6</f>
        <v>0.00673259902500546</v>
      </c>
      <c r="F12" s="4" t="s">
        <v>490</v>
      </c>
    </row>
    <row r="13" customFormat="false" ht="15" hidden="false" customHeight="false" outlineLevel="0" collapsed="false">
      <c r="A13" s="4" t="s">
        <v>34</v>
      </c>
      <c r="B13" s="5" t="n">
        <f aca="false">AVERAGE(B10,B11)</f>
        <v>-13.85</v>
      </c>
      <c r="C13" s="5" t="n">
        <f aca="false">SQRT((C10^2+C11^2)/2)</f>
        <v>2.1783020910792</v>
      </c>
      <c r="D13" s="6" t="n">
        <f aca="false">10^B13*$B$5</f>
        <v>1.38569933127492E-007</v>
      </c>
      <c r="E13" s="6" t="n">
        <f aca="false">D13*$B$6</f>
        <v>0.0119724422222153</v>
      </c>
      <c r="F13" s="4" t="s">
        <v>491</v>
      </c>
    </row>
    <row r="14" customFormat="false" ht="15" hidden="false" customHeight="false" outlineLevel="0" collapsed="false">
      <c r="A14" s="4" t="s">
        <v>492</v>
      </c>
      <c r="B14" s="9" t="n">
        <v>-11.8</v>
      </c>
      <c r="C14" s="9" t="n">
        <v>1.5</v>
      </c>
      <c r="D14" s="6" t="n">
        <f aca="false">10^B14*$B$5</f>
        <v>1.55478022180435E-005</v>
      </c>
      <c r="E14" s="6" t="n">
        <f aca="false">D14*$B$6</f>
        <v>1.34333011163896</v>
      </c>
      <c r="F14" s="4" t="s">
        <v>493</v>
      </c>
    </row>
    <row r="15" customFormat="false" ht="15" hidden="false" customHeight="false" outlineLevel="0" collapsed="false">
      <c r="A15" s="4" t="s">
        <v>494</v>
      </c>
      <c r="B15" s="9" t="n">
        <v>-10.9</v>
      </c>
      <c r="C15" s="9" t="n">
        <v>1.2</v>
      </c>
      <c r="D15" s="6" t="n">
        <f aca="false">10^B15*$B$5</f>
        <v>0.000123500582897008</v>
      </c>
      <c r="E15" s="6" t="n">
        <f aca="false">D15*$B$6</f>
        <v>10.6704503623015</v>
      </c>
      <c r="F15" s="4" t="s">
        <v>495</v>
      </c>
    </row>
    <row r="16" customFormat="false" ht="15" hidden="false" customHeight="false" outlineLevel="0" collapsed="false">
      <c r="A16" s="4" t="s">
        <v>496</v>
      </c>
      <c r="B16" s="9" t="n">
        <v>-14</v>
      </c>
      <c r="C16" s="9" t="n">
        <v>1.8</v>
      </c>
      <c r="D16" s="6" t="n">
        <f aca="false">10^B16*$B$5</f>
        <v>9.81E-008</v>
      </c>
      <c r="E16" s="6" t="n">
        <f aca="false">D16*$B$6</f>
        <v>0.00847584</v>
      </c>
      <c r="F16" s="4" t="s">
        <v>495</v>
      </c>
    </row>
    <row r="17" customFormat="false" ht="15" hidden="false" customHeight="false" outlineLevel="0" collapsed="false">
      <c r="A17" s="4" t="s">
        <v>497</v>
      </c>
      <c r="B17" s="9" t="n">
        <v>-12.5</v>
      </c>
      <c r="C17" s="9" t="n">
        <v>0.9</v>
      </c>
      <c r="D17" s="6" t="n">
        <f aca="false">10^B17*$B$5</f>
        <v>3.10219438462518E-006</v>
      </c>
      <c r="E17" s="6" t="n">
        <f aca="false">D17*$B$6</f>
        <v>0.268029594831616</v>
      </c>
      <c r="F17" s="4" t="s">
        <v>495</v>
      </c>
    </row>
    <row r="18" customFormat="false" ht="15" hidden="false" customHeight="false" outlineLevel="0" collapsed="false">
      <c r="A18" s="4" t="s">
        <v>498</v>
      </c>
      <c r="B18" s="9" t="n">
        <v>-16.5</v>
      </c>
      <c r="C18" s="9" t="n">
        <v>1.7</v>
      </c>
      <c r="D18" s="6" t="n">
        <f aca="false">10^B18*$B$5</f>
        <v>3.10219438462518E-010</v>
      </c>
      <c r="E18" s="6" t="n">
        <f aca="false">D18*$B$6</f>
        <v>2.68029594831616E-005</v>
      </c>
      <c r="F18" s="4" t="s">
        <v>495</v>
      </c>
    </row>
    <row r="20" customFormat="false" ht="15" hidden="false" customHeight="false" outlineLevel="0" collapsed="false">
      <c r="A20" s="2" t="s">
        <v>499</v>
      </c>
    </row>
    <row r="21" customFormat="false" ht="15" hidden="false" customHeight="false" outlineLevel="0" collapsed="false">
      <c r="A21" s="4" t="s">
        <v>500</v>
      </c>
    </row>
    <row r="22" customFormat="false" ht="15" hidden="false" customHeight="false" outlineLevel="0" collapsed="false">
      <c r="A22" s="4" t="s">
        <v>501</v>
      </c>
    </row>
    <row r="23" customFormat="false" ht="15" hidden="false" customHeight="false" outlineLevel="0" collapsed="false">
      <c r="A23" s="4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2026-07-11T14:27:44Z</dcterms:created>
  <dc:creator>DELL</dc:creator>
  <dc:description/>
  <dc:language>en-US</dc:language>
  <cp:lastModifiedBy>DELL</cp:lastModifiedBy>
  <dcterms:modified xsi:type="dcterms:W3CDTF">2026-10-21T07:10:56Z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